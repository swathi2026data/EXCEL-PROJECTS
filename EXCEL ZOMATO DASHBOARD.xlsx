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BS\Desktop\"/>
    </mc:Choice>
  </mc:AlternateContent>
  <xr:revisionPtr revIDLastSave="0" documentId="8_{72CFABB8-B58C-442C-9764-CD8C6FE0889A}" xr6:coauthVersionLast="47" xr6:coauthVersionMax="47" xr10:uidLastSave="{00000000-0000-0000-0000-000000000000}"/>
  <bookViews>
    <workbookView xWindow="-120" yWindow="-120" windowWidth="20730" windowHeight="11160" activeTab="1" xr2:uid="{A7962981-8311-401C-9E63-A34F57AA5F6B}"/>
  </bookViews>
  <sheets>
    <sheet name="PIVOT" sheetId="4" r:id="rId1"/>
    <sheet name="CUSTOMER  AND ORDER ANALYSIS" sheetId="10" r:id="rId2"/>
    <sheet name="RESTAURANT ANALYSIS" sheetId="9" r:id="rId3"/>
    <sheet name="ZOMATO DASHBOARD" sheetId="6" r:id="rId4"/>
    <sheet name="Sheet4" sheetId="11" r:id="rId5"/>
    <sheet name="Zomato-data-" sheetId="2" r:id="rId6"/>
  </sheets>
  <definedNames>
    <definedName name="ExternalData_1" localSheetId="5" hidden="1">'Zomato-data-'!$A$1:$G$149</definedName>
    <definedName name="Slicer_book_table">#N/A</definedName>
    <definedName name="Slicer_listed_in_type">#N/A</definedName>
    <definedName name="Slicer_listed_in_type1">#N/A</definedName>
    <definedName name="Slicer_name">#N/A</definedName>
    <definedName name="Slicer_online_order">#N/A</definedName>
    <definedName name="Slicer_vote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 i="2" l="1"/>
  <c r="I11" i="2"/>
  <c r="I7" i="2"/>
  <c r="I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4FA225-80F6-4FDA-ABF6-D7164E6291B5}" keepAlive="1" name="Query - Zomato-data-" description="Connection to the 'Zomato-data-' query in the workbook." type="5" refreshedVersion="8" background="1" saveData="1">
    <dbPr connection="Provider=Microsoft.Mashup.OleDb.1;Data Source=$Workbook$;Location=Zomato-data-;Extended Properties=&quot;&quot;" command="SELECT * FROM [Zomato-data-]"/>
  </connection>
</connections>
</file>

<file path=xl/sharedStrings.xml><?xml version="1.0" encoding="utf-8"?>
<sst xmlns="http://schemas.openxmlformats.org/spreadsheetml/2006/main" count="702" uniqueCount="175">
  <si>
    <t>name</t>
  </si>
  <si>
    <t>online_order</t>
  </si>
  <si>
    <t>book_table</t>
  </si>
  <si>
    <t>rate</t>
  </si>
  <si>
    <t>votes</t>
  </si>
  <si>
    <t>approx_cost(for two people)</t>
  </si>
  <si>
    <t>listed_in(type)</t>
  </si>
  <si>
    <t>Jalsa</t>
  </si>
  <si>
    <t>Yes</t>
  </si>
  <si>
    <t>Buffet</t>
  </si>
  <si>
    <t>Spice Elephant</t>
  </si>
  <si>
    <t>No</t>
  </si>
  <si>
    <t>San Churro Cafe</t>
  </si>
  <si>
    <t>Addhuri Udupi Bhojana</t>
  </si>
  <si>
    <t>Grand Village</t>
  </si>
  <si>
    <t>Timepass Dinner</t>
  </si>
  <si>
    <t>Rosewood International Hotel - Bar &amp; Restaurant</t>
  </si>
  <si>
    <t>Onesta</t>
  </si>
  <si>
    <t>Cafes</t>
  </si>
  <si>
    <t>Penthouse Cafe</t>
  </si>
  <si>
    <t>other</t>
  </si>
  <si>
    <t>Smacznego</t>
  </si>
  <si>
    <t>Village Café</t>
  </si>
  <si>
    <t>Cafe Shuffle</t>
  </si>
  <si>
    <t>The Coffee Shack</t>
  </si>
  <si>
    <t>Caf-Eleven</t>
  </si>
  <si>
    <t>Cafe Vivacity</t>
  </si>
  <si>
    <t>Catch-up-ino</t>
  </si>
  <si>
    <t>Kirthi's Biryani</t>
  </si>
  <si>
    <t>T3H Cafe</t>
  </si>
  <si>
    <t>360 Atoms Restaurant And Cafe</t>
  </si>
  <si>
    <t>The Vintage Cafe</t>
  </si>
  <si>
    <t>Woodee Pizza</t>
  </si>
  <si>
    <t>Cafe Coffee Day</t>
  </si>
  <si>
    <t>My Tea House</t>
  </si>
  <si>
    <t>Hide Out Cafe</t>
  </si>
  <si>
    <t>CAFE NOVA</t>
  </si>
  <si>
    <t>Coffee Tindi</t>
  </si>
  <si>
    <t>Sea Green Cafe</t>
  </si>
  <si>
    <t>Cuppa</t>
  </si>
  <si>
    <t>Srinathji's Cafe</t>
  </si>
  <si>
    <t>Redberrys</t>
  </si>
  <si>
    <t>Foodiction</t>
  </si>
  <si>
    <t>Sweet Truth</t>
  </si>
  <si>
    <t>Dining</t>
  </si>
  <si>
    <t>Ovenstory Pizza</t>
  </si>
  <si>
    <t>Faasos</t>
  </si>
  <si>
    <t>Behrouz Biryani</t>
  </si>
  <si>
    <t>Fast And Fresh</t>
  </si>
  <si>
    <t>Szechuan Dragon</t>
  </si>
  <si>
    <t>Empire Restaurant</t>
  </si>
  <si>
    <t>Maruthi Davangere Benne Dosa</t>
  </si>
  <si>
    <t>Chaatimes</t>
  </si>
  <si>
    <t>Havyaka Mess</t>
  </si>
  <si>
    <t>McDonald's</t>
  </si>
  <si>
    <t>Domino's Pizza</t>
  </si>
  <si>
    <t>Hotboxit</t>
  </si>
  <si>
    <t>Kitchen Garden</t>
  </si>
  <si>
    <t>Recipe</t>
  </si>
  <si>
    <t>Beijing Bites</t>
  </si>
  <si>
    <t>Tasty Bytes</t>
  </si>
  <si>
    <t>Petoo</t>
  </si>
  <si>
    <t>Shree Cool Point</t>
  </si>
  <si>
    <t>Corner House Ice Cream</t>
  </si>
  <si>
    <t>Biryanis And More</t>
  </si>
  <si>
    <t>Roving Feast</t>
  </si>
  <si>
    <t>FreshMenu</t>
  </si>
  <si>
    <t>Banashankari Donne Biriyani</t>
  </si>
  <si>
    <t>Wamama</t>
  </si>
  <si>
    <t>Five Star Chicken</t>
  </si>
  <si>
    <t>XO Belgian Waffle</t>
  </si>
  <si>
    <t>Peppy Peppers</t>
  </si>
  <si>
    <t>Goa 0 Km</t>
  </si>
  <si>
    <t>Chinese Kitchen</t>
  </si>
  <si>
    <t>Jeet Restaurant</t>
  </si>
  <si>
    <t>Cake of the Day</t>
  </si>
  <si>
    <t>Kabab Magic</t>
  </si>
  <si>
    <t>Namma Brahmin's Idli</t>
  </si>
  <si>
    <t>Gustoes Beer House</t>
  </si>
  <si>
    <t>Sugar Rush</t>
  </si>
  <si>
    <t>Burger King</t>
  </si>
  <si>
    <t>The Good Bowl</t>
  </si>
  <si>
    <t>The Biryani Cafe</t>
  </si>
  <si>
    <t>Spicy Tandoor</t>
  </si>
  <si>
    <t>LSD Cafe</t>
  </si>
  <si>
    <t>Rolls On Wheels</t>
  </si>
  <si>
    <t>Om Sri Vinayaka Chats</t>
  </si>
  <si>
    <t>Sri Guru Kottureshwara Davangere Benne Dosa</t>
  </si>
  <si>
    <t>Devanna Dum Biriyani Centre</t>
  </si>
  <si>
    <t>Kolbeh</t>
  </si>
  <si>
    <t>Upahar Sagar</t>
  </si>
  <si>
    <t>Kadalu Sea Food Restaurant</t>
  </si>
  <si>
    <t>Frozen Bottle</t>
  </si>
  <si>
    <t>Parimala Sweets</t>
  </si>
  <si>
    <t>Vaishali Deluxe</t>
  </si>
  <si>
    <t>Chill Out</t>
  </si>
  <si>
    <t>The Big O Bakes</t>
  </si>
  <si>
    <t>Meghana Foods</t>
  </si>
  <si>
    <t>Krishna Sagar</t>
  </si>
  <si>
    <t>Dessert Rose</t>
  </si>
  <si>
    <t>Chickpet Donne Biryani House</t>
  </si>
  <si>
    <t>Me And My Cake</t>
  </si>
  <si>
    <t>Sunsadm</t>
  </si>
  <si>
    <t>Annapooraneshwari Mess</t>
  </si>
  <si>
    <t>Thanco's Natural Ice Creams</t>
  </si>
  <si>
    <t>Nandhini Deluxe</t>
  </si>
  <si>
    <t>Vi Ra's Bar and Restaurant</t>
  </si>
  <si>
    <t>Kaggis</t>
  </si>
  <si>
    <t>Ayda Persian Kitchen</t>
  </si>
  <si>
    <t>Chatar Patar</t>
  </si>
  <si>
    <t>Polar Bear</t>
  </si>
  <si>
    <t>Kidambi's Kitchen</t>
  </si>
  <si>
    <t>Mane Thindi</t>
  </si>
  <si>
    <t>Kotian Karavali Restaurant</t>
  </si>
  <si>
    <t>Floured-Baked With Love</t>
  </si>
  <si>
    <t>Cakes &amp; Slices</t>
  </si>
  <si>
    <t>Spice 9</t>
  </si>
  <si>
    <t>Coffee Shopee</t>
  </si>
  <si>
    <t>Naveen Kabab &amp; Biriyani Mane</t>
  </si>
  <si>
    <t>Katriguppe Donne Biryani</t>
  </si>
  <si>
    <t>Hari Super Sandwich</t>
  </si>
  <si>
    <t>Atithi Point Ande Ka Funda</t>
  </si>
  <si>
    <t>Just Bake</t>
  </si>
  <si>
    <t>Dharwad Line Bazaar Mishra Pedha</t>
  </si>
  <si>
    <t>Cake Bite</t>
  </si>
  <si>
    <t>Aarush's Food Plaza</t>
  </si>
  <si>
    <t>Wood Stove</t>
  </si>
  <si>
    <t>Kulfi &amp; More</t>
  </si>
  <si>
    <t>Kannadigas Karavali</t>
  </si>
  <si>
    <t>K27 - The Pub</t>
  </si>
  <si>
    <t>Bengaluru Coffee House</t>
  </si>
  <si>
    <t>New Mangalore Lunch Home</t>
  </si>
  <si>
    <t>Coffee Bytes</t>
  </si>
  <si>
    <t>Parjanya Chat Zone</t>
  </si>
  <si>
    <t>Kwality Wall's Swirl's Happiness Station</t>
  </si>
  <si>
    <t>Soms Kitchen &amp; Bakes</t>
  </si>
  <si>
    <t>Banashankari Nati Style</t>
  </si>
  <si>
    <t>Ruchi Maayaka</t>
  </si>
  <si>
    <t>Mohitesh Hut Roll</t>
  </si>
  <si>
    <t>Sri Basaveshwar Jolada Rotti Oota</t>
  </si>
  <si>
    <t>Roll Magic Fast Food</t>
  </si>
  <si>
    <t>Foodlieious Multi Cuisine</t>
  </si>
  <si>
    <t>Thanishka Nati And Karavali Style</t>
  </si>
  <si>
    <t>Swathi Cool Point</t>
  </si>
  <si>
    <t>Kaumudis Juoice</t>
  </si>
  <si>
    <t>Amma - Manae</t>
  </si>
  <si>
    <t>Sri Sai Tiffannies</t>
  </si>
  <si>
    <t>Hotel Andhra Speices</t>
  </si>
  <si>
    <t>Sri Murari Family Restaurant</t>
  </si>
  <si>
    <t>Aramane Donne Biriyani</t>
  </si>
  <si>
    <t>Darkolates</t>
  </si>
  <si>
    <t>Swaada Healthy Kitchen</t>
  </si>
  <si>
    <t>Gawdaru Mane Beriyani</t>
  </si>
  <si>
    <t>Melting Melodies</t>
  </si>
  <si>
    <t>New Indraprasta</t>
  </si>
  <si>
    <t>Anna Kuteera</t>
  </si>
  <si>
    <t>Darbar</t>
  </si>
  <si>
    <t>Vijayalakshmi</t>
  </si>
  <si>
    <t xml:space="preserve">Total Restuarent </t>
  </si>
  <si>
    <t>Total Votes</t>
  </si>
  <si>
    <t>Avg Rating</t>
  </si>
  <si>
    <t>Avg Cost</t>
  </si>
  <si>
    <t>Count of name</t>
  </si>
  <si>
    <t>Grand Total</t>
  </si>
  <si>
    <t>Sum of votes</t>
  </si>
  <si>
    <t>LISTED IN TYPE</t>
  </si>
  <si>
    <t>ONLINE ORDER</t>
  </si>
  <si>
    <t>BOOK TABLE</t>
  </si>
  <si>
    <t>Average of rate</t>
  </si>
  <si>
    <t>Average of approx_cost(for two people)</t>
  </si>
  <si>
    <t>TOP 10 RESTAURANTS</t>
  </si>
  <si>
    <t>RESTAURANT TYPE</t>
  </si>
  <si>
    <t>Row Labels</t>
  </si>
  <si>
    <t>Column Labels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</si>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</sst>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fill>
        <patternFill>
          <bgColor rgb="FFED552B"/>
        </patternFill>
      </fill>
    </dxf>
    <dxf>
      <font>
        <sz val="12"/>
        <name val="Arial Black"/>
        <family val="2"/>
        <scheme val="none"/>
      </font>
      <fill>
        <patternFill>
          <bgColor rgb="FFFF0000"/>
        </patternFill>
      </fill>
      <border>
        <left style="medium">
          <color auto="1"/>
        </left>
        <right style="medium">
          <color auto="1"/>
        </right>
        <top style="medium">
          <color auto="1"/>
        </top>
        <bottom style="medium">
          <color auto="1"/>
        </bottom>
      </border>
    </dxf>
  </dxfs>
  <tableStyles count="2" defaultTableStyle="TableStyleMedium2" defaultPivotStyle="PivotStyleLight16">
    <tableStyle name="Slicer Style 1" pivot="0" table="0" count="1" xr9:uid="{80D2F864-17E0-458B-A5F5-799482374BF4}">
      <tableStyleElement type="wholeTable" dxfId="6"/>
    </tableStyle>
    <tableStyle name="Slicer Style 2" pivot="0" table="0" count="1" xr9:uid="{5A220C67-4842-4DFE-B01E-8549AD731770}">
      <tableStyleElement type="wholeTable" dxfId="5"/>
    </tableStyle>
  </tableStyles>
  <colors>
    <mruColors>
      <color rgb="FFFF0505"/>
      <color rgb="FFFF5050"/>
      <color rgb="FFFF3300"/>
      <color rgb="FFED552B"/>
      <color rgb="FFED1736"/>
      <color rgb="FF52A3B6"/>
      <color rgb="FFCB202D"/>
      <color rgb="FF000000"/>
      <color rgb="FFCD032E"/>
      <color rgb="FF3AA7CE"/>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3.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ZOMATO DASHBOARD.xlsx]PIVOT!PivotTable11</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PIVOT!$K$22</c:f>
              <c:strCache>
                <c:ptCount val="1"/>
                <c:pt idx="0">
                  <c:v>Total</c:v>
                </c:pt>
              </c:strCache>
            </c:strRef>
          </c:tx>
          <c:spPr>
            <a:solidFill>
              <a:schemeClr val="accent1"/>
            </a:solidFill>
            <a:ln>
              <a:noFill/>
            </a:ln>
            <a:effectLst/>
          </c:spPr>
          <c:invertIfNegative val="0"/>
          <c:cat>
            <c:strRef>
              <c:f>PIVOT!$J$23:$J$25</c:f>
              <c:strCache>
                <c:ptCount val="2"/>
                <c:pt idx="0">
                  <c:v>No</c:v>
                </c:pt>
                <c:pt idx="1">
                  <c:v>Yes</c:v>
                </c:pt>
              </c:strCache>
            </c:strRef>
          </c:cat>
          <c:val>
            <c:numRef>
              <c:f>PIVOT!$K$23:$K$25</c:f>
              <c:numCache>
                <c:formatCode>0.00</c:formatCode>
                <c:ptCount val="2"/>
                <c:pt idx="0">
                  <c:v>358.88888888888891</c:v>
                </c:pt>
                <c:pt idx="1">
                  <c:v>510.34482758620692</c:v>
                </c:pt>
              </c:numCache>
            </c:numRef>
          </c:val>
          <c:extLst>
            <c:ext xmlns:c16="http://schemas.microsoft.com/office/drawing/2014/chart" uri="{C3380CC4-5D6E-409C-BE32-E72D297353CC}">
              <c16:uniqueId val="{00000000-FD02-463F-A407-653D6E140DD6}"/>
            </c:ext>
          </c:extLst>
        </c:ser>
        <c:dLbls>
          <c:showLegendKey val="0"/>
          <c:showVal val="0"/>
          <c:showCatName val="0"/>
          <c:showSerName val="0"/>
          <c:showPercent val="0"/>
          <c:showBubbleSize val="0"/>
        </c:dLbls>
        <c:gapWidth val="219"/>
        <c:overlap val="-27"/>
        <c:axId val="523426608"/>
        <c:axId val="523427664"/>
      </c:barChart>
      <c:catAx>
        <c:axId val="52342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427664"/>
        <c:crosses val="autoZero"/>
        <c:auto val="1"/>
        <c:lblAlgn val="ctr"/>
        <c:lblOffset val="100"/>
        <c:noMultiLvlLbl val="0"/>
      </c:catAx>
      <c:valAx>
        <c:axId val="523427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42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ZOMATO DASHBOARD.xlsx]PIVOT!PivotTable8</c:name>
    <c:fmtId val="3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352724152068558E-2"/>
          <c:y val="0.2572178477690289"/>
          <c:w val="0.68680327999986623"/>
          <c:h val="0.65853091280256637"/>
        </c:manualLayout>
      </c:layout>
      <c:barChart>
        <c:barDir val="col"/>
        <c:grouping val="clustered"/>
        <c:varyColors val="0"/>
        <c:ser>
          <c:idx val="0"/>
          <c:order val="0"/>
          <c:tx>
            <c:strRef>
              <c:f>PIVOT!$N$2:$N$3</c:f>
              <c:strCache>
                <c:ptCount val="1"/>
                <c:pt idx="0">
                  <c:v>No</c:v>
                </c:pt>
              </c:strCache>
            </c:strRef>
          </c:tx>
          <c:spPr>
            <a:solidFill>
              <a:schemeClr val="accent1"/>
            </a:solidFill>
            <a:ln>
              <a:noFill/>
            </a:ln>
            <a:effectLst/>
          </c:spPr>
          <c:invertIfNegative val="0"/>
          <c:cat>
            <c:strRef>
              <c:f>PIVOT!$M$4:$M$6</c:f>
              <c:strCache>
                <c:ptCount val="2"/>
                <c:pt idx="0">
                  <c:v>No</c:v>
                </c:pt>
                <c:pt idx="1">
                  <c:v>Yes</c:v>
                </c:pt>
              </c:strCache>
            </c:strRef>
          </c:cat>
          <c:val>
            <c:numRef>
              <c:f>PIVOT!$N$4:$N$6</c:f>
              <c:numCache>
                <c:formatCode>General</c:formatCode>
                <c:ptCount val="2"/>
                <c:pt idx="0">
                  <c:v>89</c:v>
                </c:pt>
                <c:pt idx="1">
                  <c:v>51</c:v>
                </c:pt>
              </c:numCache>
            </c:numRef>
          </c:val>
          <c:extLst>
            <c:ext xmlns:c16="http://schemas.microsoft.com/office/drawing/2014/chart" uri="{C3380CC4-5D6E-409C-BE32-E72D297353CC}">
              <c16:uniqueId val="{00000003-B761-4188-B4CA-9E405E18A524}"/>
            </c:ext>
          </c:extLst>
        </c:ser>
        <c:ser>
          <c:idx val="1"/>
          <c:order val="1"/>
          <c:tx>
            <c:strRef>
              <c:f>PIVOT!$O$2:$O$3</c:f>
              <c:strCache>
                <c:ptCount val="1"/>
                <c:pt idx="0">
                  <c:v>Yes</c:v>
                </c:pt>
              </c:strCache>
            </c:strRef>
          </c:tx>
          <c:spPr>
            <a:solidFill>
              <a:schemeClr val="accent2"/>
            </a:solidFill>
            <a:ln>
              <a:noFill/>
            </a:ln>
            <a:effectLst/>
          </c:spPr>
          <c:invertIfNegative val="0"/>
          <c:cat>
            <c:strRef>
              <c:f>PIVOT!$M$4:$M$6</c:f>
              <c:strCache>
                <c:ptCount val="2"/>
                <c:pt idx="0">
                  <c:v>No</c:v>
                </c:pt>
                <c:pt idx="1">
                  <c:v>Yes</c:v>
                </c:pt>
              </c:strCache>
            </c:strRef>
          </c:cat>
          <c:val>
            <c:numRef>
              <c:f>PIVOT!$O$4:$O$6</c:f>
              <c:numCache>
                <c:formatCode>General</c:formatCode>
                <c:ptCount val="2"/>
                <c:pt idx="0">
                  <c:v>1</c:v>
                </c:pt>
                <c:pt idx="1">
                  <c:v>7</c:v>
                </c:pt>
              </c:numCache>
            </c:numRef>
          </c:val>
          <c:extLst>
            <c:ext xmlns:c16="http://schemas.microsoft.com/office/drawing/2014/chart" uri="{C3380CC4-5D6E-409C-BE32-E72D297353CC}">
              <c16:uniqueId val="{00000004-B761-4188-B4CA-9E405E18A524}"/>
            </c:ext>
          </c:extLst>
        </c:ser>
        <c:dLbls>
          <c:showLegendKey val="0"/>
          <c:showVal val="0"/>
          <c:showCatName val="0"/>
          <c:showSerName val="0"/>
          <c:showPercent val="0"/>
          <c:showBubbleSize val="0"/>
        </c:dLbls>
        <c:gapWidth val="219"/>
        <c:overlap val="-27"/>
        <c:axId val="891657576"/>
        <c:axId val="498085488"/>
      </c:barChart>
      <c:catAx>
        <c:axId val="891657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085488"/>
        <c:crosses val="autoZero"/>
        <c:auto val="1"/>
        <c:lblAlgn val="ctr"/>
        <c:lblOffset val="100"/>
        <c:noMultiLvlLbl val="0"/>
      </c:catAx>
      <c:valAx>
        <c:axId val="49808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657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ZOMATO DASHBOARD.xlsx]PIVOT!PivotTable15</c:name>
    <c:fmtId val="3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PIVOT!$N$14:$N$15</c:f>
              <c:strCache>
                <c:ptCount val="1"/>
                <c:pt idx="0">
                  <c:v>No</c:v>
                </c:pt>
              </c:strCache>
            </c:strRef>
          </c:tx>
          <c:spPr>
            <a:solidFill>
              <a:schemeClr val="accent1"/>
            </a:solidFill>
            <a:ln>
              <a:noFill/>
            </a:ln>
            <a:effectLst/>
          </c:spPr>
          <c:invertIfNegative val="0"/>
          <c:cat>
            <c:strRef>
              <c:f>PIVOT!$M$16:$M$20</c:f>
              <c:strCache>
                <c:ptCount val="4"/>
                <c:pt idx="0">
                  <c:v>Buffet</c:v>
                </c:pt>
                <c:pt idx="1">
                  <c:v>Cafes</c:v>
                </c:pt>
                <c:pt idx="2">
                  <c:v>Dining</c:v>
                </c:pt>
                <c:pt idx="3">
                  <c:v>other</c:v>
                </c:pt>
              </c:strCache>
            </c:strRef>
          </c:cat>
          <c:val>
            <c:numRef>
              <c:f>PIVOT!$N$16:$N$20</c:f>
              <c:numCache>
                <c:formatCode>General</c:formatCode>
                <c:ptCount val="4"/>
                <c:pt idx="0">
                  <c:v>3</c:v>
                </c:pt>
                <c:pt idx="1">
                  <c:v>8</c:v>
                </c:pt>
                <c:pt idx="2">
                  <c:v>77</c:v>
                </c:pt>
                <c:pt idx="3">
                  <c:v>2</c:v>
                </c:pt>
              </c:numCache>
            </c:numRef>
          </c:val>
          <c:extLst>
            <c:ext xmlns:c16="http://schemas.microsoft.com/office/drawing/2014/chart" uri="{C3380CC4-5D6E-409C-BE32-E72D297353CC}">
              <c16:uniqueId val="{00000000-CD5E-4DDF-93AB-539890A406BF}"/>
            </c:ext>
          </c:extLst>
        </c:ser>
        <c:ser>
          <c:idx val="1"/>
          <c:order val="1"/>
          <c:tx>
            <c:strRef>
              <c:f>PIVOT!$O$14:$O$15</c:f>
              <c:strCache>
                <c:ptCount val="1"/>
                <c:pt idx="0">
                  <c:v>Yes</c:v>
                </c:pt>
              </c:strCache>
            </c:strRef>
          </c:tx>
          <c:spPr>
            <a:solidFill>
              <a:schemeClr val="accent2"/>
            </a:solidFill>
            <a:ln>
              <a:noFill/>
            </a:ln>
            <a:effectLst/>
          </c:spPr>
          <c:invertIfNegative val="0"/>
          <c:cat>
            <c:strRef>
              <c:f>PIVOT!$M$16:$M$20</c:f>
              <c:strCache>
                <c:ptCount val="4"/>
                <c:pt idx="0">
                  <c:v>Buffet</c:v>
                </c:pt>
                <c:pt idx="1">
                  <c:v>Cafes</c:v>
                </c:pt>
                <c:pt idx="2">
                  <c:v>Dining</c:v>
                </c:pt>
                <c:pt idx="3">
                  <c:v>other</c:v>
                </c:pt>
              </c:strCache>
            </c:strRef>
          </c:cat>
          <c:val>
            <c:numRef>
              <c:f>PIVOT!$O$16:$O$20</c:f>
              <c:numCache>
                <c:formatCode>General</c:formatCode>
                <c:ptCount val="4"/>
                <c:pt idx="0">
                  <c:v>4</c:v>
                </c:pt>
                <c:pt idx="1">
                  <c:v>15</c:v>
                </c:pt>
                <c:pt idx="2">
                  <c:v>33</c:v>
                </c:pt>
                <c:pt idx="3">
                  <c:v>6</c:v>
                </c:pt>
              </c:numCache>
            </c:numRef>
          </c:val>
          <c:extLst>
            <c:ext xmlns:c16="http://schemas.microsoft.com/office/drawing/2014/chart" uri="{C3380CC4-5D6E-409C-BE32-E72D297353CC}">
              <c16:uniqueId val="{0000005C-CD5E-4DDF-93AB-539890A406BF}"/>
            </c:ext>
          </c:extLst>
        </c:ser>
        <c:dLbls>
          <c:showLegendKey val="0"/>
          <c:showVal val="0"/>
          <c:showCatName val="0"/>
          <c:showSerName val="0"/>
          <c:showPercent val="0"/>
          <c:showBubbleSize val="0"/>
        </c:dLbls>
        <c:gapWidth val="182"/>
        <c:axId val="716142616"/>
        <c:axId val="716138744"/>
      </c:barChart>
      <c:catAx>
        <c:axId val="716142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138744"/>
        <c:crosses val="autoZero"/>
        <c:auto val="1"/>
        <c:lblAlgn val="ctr"/>
        <c:lblOffset val="100"/>
        <c:noMultiLvlLbl val="0"/>
      </c:catAx>
      <c:valAx>
        <c:axId val="716138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142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ZOMATO DASHBOARD.xlsx]PIVOT!PivotTable14</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PIVOT!$K$28</c:f>
              <c:strCache>
                <c:ptCount val="1"/>
                <c:pt idx="0">
                  <c:v>Total</c:v>
                </c:pt>
              </c:strCache>
            </c:strRef>
          </c:tx>
          <c:spPr>
            <a:solidFill>
              <a:schemeClr val="accent1"/>
            </a:solidFill>
            <a:ln>
              <a:noFill/>
            </a:ln>
            <a:effectLst/>
          </c:spPr>
          <c:invertIfNegative val="0"/>
          <c:cat>
            <c:strRef>
              <c:f>PIVOT!$J$29:$J$31</c:f>
              <c:strCache>
                <c:ptCount val="2"/>
                <c:pt idx="0">
                  <c:v>No</c:v>
                </c:pt>
                <c:pt idx="1">
                  <c:v>Yes</c:v>
                </c:pt>
              </c:strCache>
            </c:strRef>
          </c:cat>
          <c:val>
            <c:numRef>
              <c:f>PIVOT!$K$29:$K$31</c:f>
              <c:numCache>
                <c:formatCode>0.00</c:formatCode>
                <c:ptCount val="2"/>
                <c:pt idx="0">
                  <c:v>402.5</c:v>
                </c:pt>
                <c:pt idx="1">
                  <c:v>693.75</c:v>
                </c:pt>
              </c:numCache>
            </c:numRef>
          </c:val>
          <c:extLst>
            <c:ext xmlns:c16="http://schemas.microsoft.com/office/drawing/2014/chart" uri="{C3380CC4-5D6E-409C-BE32-E72D297353CC}">
              <c16:uniqueId val="{00000000-1EFC-4C81-A68B-6F58D84CA1AC}"/>
            </c:ext>
          </c:extLst>
        </c:ser>
        <c:dLbls>
          <c:showLegendKey val="0"/>
          <c:showVal val="0"/>
          <c:showCatName val="0"/>
          <c:showSerName val="0"/>
          <c:showPercent val="0"/>
          <c:showBubbleSize val="0"/>
        </c:dLbls>
        <c:gapWidth val="219"/>
        <c:overlap val="-27"/>
        <c:axId val="904827368"/>
        <c:axId val="904824904"/>
      </c:barChart>
      <c:catAx>
        <c:axId val="904827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04824904"/>
        <c:crosses val="autoZero"/>
        <c:auto val="1"/>
        <c:lblAlgn val="ctr"/>
        <c:lblOffset val="100"/>
        <c:noMultiLvlLbl val="0"/>
      </c:catAx>
      <c:valAx>
        <c:axId val="904824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04827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ZOMATO DASHBOARD.xlsx]PIVOT!PivotTable8</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rial Black" panose="020B0A04020102020204" pitchFamily="34" charset="0"/>
              </a:rPr>
              <a:t>ONLINE</a:t>
            </a:r>
            <a:r>
              <a:rPr lang="en-US" sz="1200" baseline="0">
                <a:latin typeface="Arial Black" panose="020B0A04020102020204" pitchFamily="34" charset="0"/>
              </a:rPr>
              <a:t> ORDER AND TABLE BOOKING COMPARISION</a:t>
            </a:r>
            <a:endParaRPr lang="en-US" sz="12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352724152068558E-2"/>
          <c:y val="0.2572178477690289"/>
          <c:w val="0.68680327999986623"/>
          <c:h val="0.65853091280256637"/>
        </c:manualLayout>
      </c:layout>
      <c:barChart>
        <c:barDir val="col"/>
        <c:grouping val="clustered"/>
        <c:varyColors val="0"/>
        <c:ser>
          <c:idx val="0"/>
          <c:order val="0"/>
          <c:tx>
            <c:strRef>
              <c:f>PIVOT!$N$2:$N$3</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PIVOT!$M$4:$M$6</c:f>
              <c:strCache>
                <c:ptCount val="2"/>
                <c:pt idx="0">
                  <c:v>No</c:v>
                </c:pt>
                <c:pt idx="1">
                  <c:v>Yes</c:v>
                </c:pt>
              </c:strCache>
            </c:strRef>
          </c:cat>
          <c:val>
            <c:numRef>
              <c:f>PIVOT!$N$4:$N$6</c:f>
              <c:numCache>
                <c:formatCode>General</c:formatCode>
                <c:ptCount val="2"/>
                <c:pt idx="0">
                  <c:v>89</c:v>
                </c:pt>
                <c:pt idx="1">
                  <c:v>51</c:v>
                </c:pt>
              </c:numCache>
            </c:numRef>
          </c:val>
          <c:extLst>
            <c:ext xmlns:c16="http://schemas.microsoft.com/office/drawing/2014/chart" uri="{C3380CC4-5D6E-409C-BE32-E72D297353CC}">
              <c16:uniqueId val="{00000000-CFDC-413C-88E1-06A0EE0A9A4D}"/>
            </c:ext>
          </c:extLst>
        </c:ser>
        <c:ser>
          <c:idx val="1"/>
          <c:order val="1"/>
          <c:tx>
            <c:strRef>
              <c:f>PIVOT!$O$2:$O$3</c:f>
              <c:strCache>
                <c:ptCount val="1"/>
                <c:pt idx="0">
                  <c:v>Yes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PIVOT!$M$4:$M$6</c:f>
              <c:strCache>
                <c:ptCount val="2"/>
                <c:pt idx="0">
                  <c:v>No</c:v>
                </c:pt>
                <c:pt idx="1">
                  <c:v>Yes</c:v>
                </c:pt>
              </c:strCache>
            </c:strRef>
          </c:cat>
          <c:val>
            <c:numRef>
              <c:f>PIVOT!$O$4:$O$6</c:f>
              <c:numCache>
                <c:formatCode>General</c:formatCode>
                <c:ptCount val="2"/>
                <c:pt idx="0">
                  <c:v>1</c:v>
                </c:pt>
                <c:pt idx="1">
                  <c:v>7</c:v>
                </c:pt>
              </c:numCache>
            </c:numRef>
          </c:val>
          <c:extLst>
            <c:ext xmlns:c16="http://schemas.microsoft.com/office/drawing/2014/chart" uri="{C3380CC4-5D6E-409C-BE32-E72D297353CC}">
              <c16:uniqueId val="{00000001-CFDC-413C-88E1-06A0EE0A9A4D}"/>
            </c:ext>
          </c:extLst>
        </c:ser>
        <c:dLbls>
          <c:dLblPos val="outEnd"/>
          <c:showLegendKey val="0"/>
          <c:showVal val="1"/>
          <c:showCatName val="0"/>
          <c:showSerName val="0"/>
          <c:showPercent val="0"/>
          <c:showBubbleSize val="0"/>
        </c:dLbls>
        <c:gapWidth val="219"/>
        <c:overlap val="-27"/>
        <c:axId val="891657576"/>
        <c:axId val="498085488"/>
      </c:barChart>
      <c:catAx>
        <c:axId val="891657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498085488"/>
        <c:crosses val="autoZero"/>
        <c:auto val="1"/>
        <c:lblAlgn val="ctr"/>
        <c:lblOffset val="100"/>
        <c:noMultiLvlLbl val="0"/>
      </c:catAx>
      <c:valAx>
        <c:axId val="49808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891657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ZOMATO DASHBOARD.xlsx]PIVOT!PivotTable15</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a:t>ONLINE ORDER AVAILABILITY BY RESTAURANT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4"/>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PIVOT!$N$14:$N$15</c:f>
              <c:strCache>
                <c:ptCount val="1"/>
                <c:pt idx="0">
                  <c:v>No</c:v>
                </c:pt>
              </c:strCache>
            </c:strRef>
          </c:tx>
          <c:spPr>
            <a:solidFill>
              <a:srgbClr val="FF0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PIVOT!$M$16:$M$20</c:f>
              <c:strCache>
                <c:ptCount val="4"/>
                <c:pt idx="0">
                  <c:v>Buffet</c:v>
                </c:pt>
                <c:pt idx="1">
                  <c:v>Cafes</c:v>
                </c:pt>
                <c:pt idx="2">
                  <c:v>Dining</c:v>
                </c:pt>
                <c:pt idx="3">
                  <c:v>other</c:v>
                </c:pt>
              </c:strCache>
            </c:strRef>
          </c:cat>
          <c:val>
            <c:numRef>
              <c:f>PIVOT!$N$16:$N$20</c:f>
              <c:numCache>
                <c:formatCode>General</c:formatCode>
                <c:ptCount val="4"/>
                <c:pt idx="0">
                  <c:v>3</c:v>
                </c:pt>
                <c:pt idx="1">
                  <c:v>8</c:v>
                </c:pt>
                <c:pt idx="2">
                  <c:v>77</c:v>
                </c:pt>
                <c:pt idx="3">
                  <c:v>2</c:v>
                </c:pt>
              </c:numCache>
            </c:numRef>
          </c:val>
          <c:extLst>
            <c:ext xmlns:c16="http://schemas.microsoft.com/office/drawing/2014/chart" uri="{C3380CC4-5D6E-409C-BE32-E72D297353CC}">
              <c16:uniqueId val="{00000000-769A-4B24-A556-AF3E6A2588E1}"/>
            </c:ext>
          </c:extLst>
        </c:ser>
        <c:ser>
          <c:idx val="1"/>
          <c:order val="1"/>
          <c:tx>
            <c:strRef>
              <c:f>PIVOT!$O$14:$O$15</c:f>
              <c:strCache>
                <c:ptCount val="1"/>
                <c:pt idx="0">
                  <c:v>Yes</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PIVOT!$M$16:$M$20</c:f>
              <c:strCache>
                <c:ptCount val="4"/>
                <c:pt idx="0">
                  <c:v>Buffet</c:v>
                </c:pt>
                <c:pt idx="1">
                  <c:v>Cafes</c:v>
                </c:pt>
                <c:pt idx="2">
                  <c:v>Dining</c:v>
                </c:pt>
                <c:pt idx="3">
                  <c:v>other</c:v>
                </c:pt>
              </c:strCache>
            </c:strRef>
          </c:cat>
          <c:val>
            <c:numRef>
              <c:f>PIVOT!$O$16:$O$20</c:f>
              <c:numCache>
                <c:formatCode>General</c:formatCode>
                <c:ptCount val="4"/>
                <c:pt idx="0">
                  <c:v>4</c:v>
                </c:pt>
                <c:pt idx="1">
                  <c:v>15</c:v>
                </c:pt>
                <c:pt idx="2">
                  <c:v>33</c:v>
                </c:pt>
                <c:pt idx="3">
                  <c:v>6</c:v>
                </c:pt>
              </c:numCache>
            </c:numRef>
          </c:val>
          <c:extLst>
            <c:ext xmlns:c16="http://schemas.microsoft.com/office/drawing/2014/chart" uri="{C3380CC4-5D6E-409C-BE32-E72D297353CC}">
              <c16:uniqueId val="{00000002-769A-4B24-A556-AF3E6A2588E1}"/>
            </c:ext>
          </c:extLst>
        </c:ser>
        <c:dLbls>
          <c:dLblPos val="outEnd"/>
          <c:showLegendKey val="0"/>
          <c:showVal val="1"/>
          <c:showCatName val="0"/>
          <c:showSerName val="0"/>
          <c:showPercent val="0"/>
          <c:showBubbleSize val="0"/>
        </c:dLbls>
        <c:gapWidth val="50"/>
        <c:axId val="716142616"/>
        <c:axId val="716138744"/>
      </c:barChart>
      <c:catAx>
        <c:axId val="716142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716138744"/>
        <c:crosses val="autoZero"/>
        <c:auto val="1"/>
        <c:lblAlgn val="ctr"/>
        <c:lblOffset val="100"/>
        <c:noMultiLvlLbl val="0"/>
      </c:catAx>
      <c:valAx>
        <c:axId val="716138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716142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Black" panose="020B0A040201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ZOMATO DASHBOARD.xlsx]PIVOT!PivotTable11</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Black" panose="020B0A04020102020204" pitchFamily="34" charset="0"/>
              </a:rPr>
              <a:t>ONLINE</a:t>
            </a:r>
            <a:r>
              <a:rPr lang="en-US" sz="1100" baseline="0">
                <a:latin typeface="Arial Black" panose="020B0A04020102020204" pitchFamily="34" charset="0"/>
              </a:rPr>
              <a:t> ORDER VS AVERAGE OF APPROX _COST</a:t>
            </a:r>
            <a:endParaRPr lang="en-US" sz="11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00B050"/>
          </a:solidFill>
          <a:ln>
            <a:noFill/>
          </a:ln>
          <a:effectLst/>
        </c:spPr>
      </c:pivotFmt>
    </c:pivotFmts>
    <c:plotArea>
      <c:layout/>
      <c:barChart>
        <c:barDir val="col"/>
        <c:grouping val="clustered"/>
        <c:varyColors val="0"/>
        <c:ser>
          <c:idx val="0"/>
          <c:order val="0"/>
          <c:tx>
            <c:strRef>
              <c:f>PIVOT!$K$22</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6113-4C0D-BC20-456B4777578A}"/>
              </c:ext>
            </c:extLst>
          </c:dPt>
          <c:dPt>
            <c:idx val="1"/>
            <c:invertIfNegative val="0"/>
            <c:bubble3D val="0"/>
            <c:spPr>
              <a:solidFill>
                <a:srgbClr val="00B050"/>
              </a:solidFill>
              <a:ln>
                <a:noFill/>
              </a:ln>
              <a:effectLst/>
            </c:spPr>
            <c:extLst>
              <c:ext xmlns:c16="http://schemas.microsoft.com/office/drawing/2014/chart" uri="{C3380CC4-5D6E-409C-BE32-E72D297353CC}">
                <c16:uniqueId val="{00000002-6113-4C0D-BC20-456B477757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PIVOT!$J$23:$J$25</c:f>
              <c:strCache>
                <c:ptCount val="2"/>
                <c:pt idx="0">
                  <c:v>No</c:v>
                </c:pt>
                <c:pt idx="1">
                  <c:v>Yes</c:v>
                </c:pt>
              </c:strCache>
            </c:strRef>
          </c:cat>
          <c:val>
            <c:numRef>
              <c:f>PIVOT!$K$23:$K$25</c:f>
              <c:numCache>
                <c:formatCode>0.00</c:formatCode>
                <c:ptCount val="2"/>
                <c:pt idx="0">
                  <c:v>358.88888888888891</c:v>
                </c:pt>
                <c:pt idx="1">
                  <c:v>510.34482758620692</c:v>
                </c:pt>
              </c:numCache>
            </c:numRef>
          </c:val>
          <c:extLst>
            <c:ext xmlns:c16="http://schemas.microsoft.com/office/drawing/2014/chart" uri="{C3380CC4-5D6E-409C-BE32-E72D297353CC}">
              <c16:uniqueId val="{00000000-6113-4C0D-BC20-456B4777578A}"/>
            </c:ext>
          </c:extLst>
        </c:ser>
        <c:dLbls>
          <c:dLblPos val="outEnd"/>
          <c:showLegendKey val="0"/>
          <c:showVal val="1"/>
          <c:showCatName val="0"/>
          <c:showSerName val="0"/>
          <c:showPercent val="0"/>
          <c:showBubbleSize val="0"/>
        </c:dLbls>
        <c:gapWidth val="219"/>
        <c:overlap val="-27"/>
        <c:axId val="523426608"/>
        <c:axId val="523427664"/>
      </c:barChart>
      <c:catAx>
        <c:axId val="52342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523427664"/>
        <c:crosses val="autoZero"/>
        <c:auto val="1"/>
        <c:lblAlgn val="ctr"/>
        <c:lblOffset val="100"/>
        <c:noMultiLvlLbl val="0"/>
      </c:catAx>
      <c:valAx>
        <c:axId val="52342766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52342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ZOMATO DASHBOARD.xlsx]PIVOT!PivotTable14</c:name>
    <c:fmtId val="3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r>
              <a:rPr lang="en-US" sz="1400" b="0" i="0" u="none" strike="noStrike" kern="1200" spc="0" baseline="0">
                <a:solidFill>
                  <a:sysClr val="windowText" lastClr="000000">
                    <a:lumMod val="65000"/>
                    <a:lumOff val="35000"/>
                  </a:sysClr>
                </a:solidFill>
                <a:latin typeface="Arial Black" panose="020B0A04020102020204" pitchFamily="34" charset="0"/>
              </a:rPr>
              <a:t>BOOK TABLE VS AVERAGE OF APPROX _COST</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cap="none" spc="0" baseline="0">
              <a:ln w="0"/>
              <a:solidFill>
                <a:sysClr val="windowText" lastClr="000000"/>
              </a:solidFill>
              <a:effectLst>
                <a:outerShdw blurRad="38100" dist="19050" dir="2700000" algn="tl" rotWithShape="0">
                  <a:sysClr val="windowText" lastClr="000000">
                    <a:alpha val="40000"/>
                  </a:sys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
        <c:idx val="4"/>
        <c:spPr>
          <a:solidFill>
            <a:srgbClr val="00B050"/>
          </a:solidFill>
          <a:ln>
            <a:noFill/>
          </a:ln>
          <a:effectLst/>
        </c:spPr>
      </c:pivotFmt>
    </c:pivotFmts>
    <c:plotArea>
      <c:layout/>
      <c:barChart>
        <c:barDir val="col"/>
        <c:grouping val="clustered"/>
        <c:varyColors val="0"/>
        <c:ser>
          <c:idx val="0"/>
          <c:order val="0"/>
          <c:tx>
            <c:strRef>
              <c:f>PIVOT!$K$28</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DCA2-448F-B970-5995FC9C12F9}"/>
              </c:ext>
            </c:extLst>
          </c:dPt>
          <c:dPt>
            <c:idx val="1"/>
            <c:invertIfNegative val="0"/>
            <c:bubble3D val="0"/>
            <c:spPr>
              <a:solidFill>
                <a:srgbClr val="00B050"/>
              </a:solidFill>
              <a:ln>
                <a:noFill/>
              </a:ln>
              <a:effectLst/>
            </c:spPr>
            <c:extLst>
              <c:ext xmlns:c16="http://schemas.microsoft.com/office/drawing/2014/chart" uri="{C3380CC4-5D6E-409C-BE32-E72D297353CC}">
                <c16:uniqueId val="{00000002-DCA2-448F-B970-5995FC9C12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PIVOT!$J$29:$J$31</c:f>
              <c:strCache>
                <c:ptCount val="2"/>
                <c:pt idx="0">
                  <c:v>No</c:v>
                </c:pt>
                <c:pt idx="1">
                  <c:v>Yes</c:v>
                </c:pt>
              </c:strCache>
            </c:strRef>
          </c:cat>
          <c:val>
            <c:numRef>
              <c:f>PIVOT!$K$29:$K$31</c:f>
              <c:numCache>
                <c:formatCode>0.00</c:formatCode>
                <c:ptCount val="2"/>
                <c:pt idx="0">
                  <c:v>402.5</c:v>
                </c:pt>
                <c:pt idx="1">
                  <c:v>693.75</c:v>
                </c:pt>
              </c:numCache>
            </c:numRef>
          </c:val>
          <c:extLst>
            <c:ext xmlns:c16="http://schemas.microsoft.com/office/drawing/2014/chart" uri="{C3380CC4-5D6E-409C-BE32-E72D297353CC}">
              <c16:uniqueId val="{00000000-DCA2-448F-B970-5995FC9C12F9}"/>
            </c:ext>
          </c:extLst>
        </c:ser>
        <c:dLbls>
          <c:dLblPos val="outEnd"/>
          <c:showLegendKey val="0"/>
          <c:showVal val="1"/>
          <c:showCatName val="0"/>
          <c:showSerName val="0"/>
          <c:showPercent val="0"/>
          <c:showBubbleSize val="0"/>
        </c:dLbls>
        <c:gapWidth val="219"/>
        <c:overlap val="-27"/>
        <c:axId val="904827368"/>
        <c:axId val="904824904"/>
      </c:barChart>
      <c:catAx>
        <c:axId val="904827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defRPr>
            </a:pPr>
            <a:endParaRPr lang="en-US"/>
          </a:p>
        </c:txPr>
        <c:crossAx val="904824904"/>
        <c:crosses val="autoZero"/>
        <c:auto val="1"/>
        <c:lblAlgn val="ctr"/>
        <c:lblOffset val="100"/>
        <c:noMultiLvlLbl val="0"/>
      </c:catAx>
      <c:valAx>
        <c:axId val="9048249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defRPr>
            </a:pPr>
            <a:endParaRPr lang="en-US"/>
          </a:p>
        </c:txPr>
        <c:crossAx val="904827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ZOMATO DASHBOARD.xlsx]PIVOT!PivotTable5</c:name>
    <c:fmtId val="2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latin typeface="Arial Black" panose="020B0A04020102020204" pitchFamily="34" charset="0"/>
              </a:rPr>
              <a:t>TOP</a:t>
            </a:r>
            <a:r>
              <a:rPr lang="en-US" baseline="0">
                <a:solidFill>
                  <a:sysClr val="windowText" lastClr="000000"/>
                </a:solidFill>
                <a:latin typeface="Arial Black" panose="020B0A04020102020204" pitchFamily="34" charset="0"/>
              </a:rPr>
              <a:t> 10 RESTAURANT BY RATING </a:t>
            </a:r>
            <a:endParaRPr lang="en-US">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55533683289589"/>
          <c:y val="0.19486111111111112"/>
          <c:w val="0.89655796150481193"/>
          <c:h val="0.44542687372411782"/>
        </c:manualLayout>
      </c:layout>
      <c:barChart>
        <c:barDir val="col"/>
        <c:grouping val="clustered"/>
        <c:varyColors val="0"/>
        <c:ser>
          <c:idx val="0"/>
          <c:order val="0"/>
          <c:tx>
            <c:strRef>
              <c:f>PIVOT!$E$11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PIVOT!$D$12:$D$24</c:f>
              <c:strCache>
                <c:ptCount val="12"/>
                <c:pt idx="0">
                  <c:v>Onesta</c:v>
                </c:pt>
                <c:pt idx="1">
                  <c:v>Empire Restaurant</c:v>
                </c:pt>
                <c:pt idx="2">
                  <c:v>Meghana Foods</c:v>
                </c:pt>
                <c:pt idx="3">
                  <c:v>Corner House Ice Cream</c:v>
                </c:pt>
                <c:pt idx="4">
                  <c:v>Frozen Bottle</c:v>
                </c:pt>
                <c:pt idx="5">
                  <c:v>Szechuan Dragon</c:v>
                </c:pt>
                <c:pt idx="6">
                  <c:v>Smacznego</c:v>
                </c:pt>
                <c:pt idx="7">
                  <c:v>Cafe Shuffle</c:v>
                </c:pt>
                <c:pt idx="8">
                  <c:v>The Coffee Shack</c:v>
                </c:pt>
                <c:pt idx="9">
                  <c:v>Wamama</c:v>
                </c:pt>
                <c:pt idx="10">
                  <c:v>Faasos</c:v>
                </c:pt>
                <c:pt idx="11">
                  <c:v>Peppy Peppers</c:v>
                </c:pt>
              </c:strCache>
            </c:strRef>
          </c:cat>
          <c:val>
            <c:numRef>
              <c:f>PIVOT!$E$12:$E$24</c:f>
              <c:numCache>
                <c:formatCode>General</c:formatCode>
                <c:ptCount val="12"/>
                <c:pt idx="0">
                  <c:v>4.5999999999999996</c:v>
                </c:pt>
                <c:pt idx="1">
                  <c:v>4.4000000000000004</c:v>
                </c:pt>
                <c:pt idx="2">
                  <c:v>4.4000000000000004</c:v>
                </c:pt>
                <c:pt idx="3">
                  <c:v>4.3</c:v>
                </c:pt>
                <c:pt idx="4">
                  <c:v>4.2</c:v>
                </c:pt>
                <c:pt idx="5">
                  <c:v>4.2</c:v>
                </c:pt>
                <c:pt idx="6">
                  <c:v>4.2</c:v>
                </c:pt>
                <c:pt idx="7">
                  <c:v>4.2</c:v>
                </c:pt>
                <c:pt idx="8">
                  <c:v>4.2</c:v>
                </c:pt>
                <c:pt idx="9">
                  <c:v>4.2</c:v>
                </c:pt>
                <c:pt idx="10">
                  <c:v>4.2</c:v>
                </c:pt>
                <c:pt idx="11">
                  <c:v>4.2</c:v>
                </c:pt>
              </c:numCache>
            </c:numRef>
          </c:val>
          <c:extLst>
            <c:ext xmlns:c16="http://schemas.microsoft.com/office/drawing/2014/chart" uri="{C3380CC4-5D6E-409C-BE32-E72D297353CC}">
              <c16:uniqueId val="{00000000-CD2B-48F4-983E-2F0C93F0F6A0}"/>
            </c:ext>
          </c:extLst>
        </c:ser>
        <c:dLbls>
          <c:dLblPos val="outEnd"/>
          <c:showLegendKey val="0"/>
          <c:showVal val="1"/>
          <c:showCatName val="0"/>
          <c:showSerName val="0"/>
          <c:showPercent val="0"/>
          <c:showBubbleSize val="0"/>
        </c:dLbls>
        <c:gapWidth val="50"/>
        <c:overlap val="-27"/>
        <c:axId val="617449960"/>
        <c:axId val="617448904"/>
      </c:barChart>
      <c:catAx>
        <c:axId val="617449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Arial Black" panose="020B0A04020102020204" pitchFamily="34" charset="0"/>
                <a:ea typeface="+mn-ea"/>
                <a:cs typeface="+mn-cs"/>
              </a:defRPr>
            </a:pPr>
            <a:endParaRPr lang="en-US"/>
          </a:p>
        </c:txPr>
        <c:crossAx val="617448904"/>
        <c:crosses val="autoZero"/>
        <c:auto val="1"/>
        <c:lblAlgn val="ctr"/>
        <c:lblOffset val="100"/>
        <c:noMultiLvlLbl val="0"/>
      </c:catAx>
      <c:valAx>
        <c:axId val="617448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Black" panose="020B0A04020102020204" pitchFamily="34" charset="0"/>
                <a:ea typeface="+mn-ea"/>
                <a:cs typeface="+mn-cs"/>
              </a:defRPr>
            </a:pPr>
            <a:endParaRPr lang="en-US"/>
          </a:p>
        </c:txPr>
        <c:crossAx val="617449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ZOMATO DASHBOARD.xlsx]PIVOT!PivotTable6</c:name>
    <c:fmtId val="2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400">
                <a:solidFill>
                  <a:sysClr val="windowText" lastClr="000000"/>
                </a:solidFill>
                <a:latin typeface="Arial Black" panose="020B0A04020102020204" pitchFamily="34" charset="0"/>
              </a:rPr>
              <a:t>TOP</a:t>
            </a:r>
            <a:r>
              <a:rPr lang="en-US" sz="1400" baseline="0">
                <a:solidFill>
                  <a:sysClr val="windowText" lastClr="000000"/>
                </a:solidFill>
                <a:latin typeface="Arial Black" panose="020B0A04020102020204" pitchFamily="34" charset="0"/>
              </a:rPr>
              <a:t> 10 RESTAURANT  BY VOTES</a:t>
            </a:r>
            <a:endParaRPr lang="en-US" sz="1400">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PIVOT!$H$11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PIVOT!$G$12:$G$22</c:f>
              <c:strCache>
                <c:ptCount val="10"/>
                <c:pt idx="0">
                  <c:v>Onesta</c:v>
                </c:pt>
                <c:pt idx="1">
                  <c:v>Empire Restaurant</c:v>
                </c:pt>
                <c:pt idx="2">
                  <c:v>Meghana Foods</c:v>
                </c:pt>
                <c:pt idx="3">
                  <c:v>San Churro Cafe</c:v>
                </c:pt>
                <c:pt idx="4">
                  <c:v>Kabab Magic</c:v>
                </c:pt>
                <c:pt idx="5">
                  <c:v>Szechuan Dragon</c:v>
                </c:pt>
                <c:pt idx="6">
                  <c:v>Roving Feast</c:v>
                </c:pt>
                <c:pt idx="7">
                  <c:v>Gustoes Beer House</c:v>
                </c:pt>
                <c:pt idx="8">
                  <c:v>Jeet Restaurant</c:v>
                </c:pt>
                <c:pt idx="9">
                  <c:v>Recipe</c:v>
                </c:pt>
              </c:strCache>
            </c:strRef>
          </c:cat>
          <c:val>
            <c:numRef>
              <c:f>PIVOT!$H$12:$H$22</c:f>
              <c:numCache>
                <c:formatCode>General</c:formatCode>
                <c:ptCount val="10"/>
                <c:pt idx="0">
                  <c:v>5112</c:v>
                </c:pt>
                <c:pt idx="1">
                  <c:v>4884</c:v>
                </c:pt>
                <c:pt idx="2">
                  <c:v>4401</c:v>
                </c:pt>
                <c:pt idx="3">
                  <c:v>1836</c:v>
                </c:pt>
                <c:pt idx="4">
                  <c:v>1720</c:v>
                </c:pt>
                <c:pt idx="5">
                  <c:v>1647</c:v>
                </c:pt>
                <c:pt idx="6">
                  <c:v>1047</c:v>
                </c:pt>
                <c:pt idx="7">
                  <c:v>868</c:v>
                </c:pt>
                <c:pt idx="8">
                  <c:v>808</c:v>
                </c:pt>
                <c:pt idx="9">
                  <c:v>804</c:v>
                </c:pt>
              </c:numCache>
            </c:numRef>
          </c:val>
          <c:extLst>
            <c:ext xmlns:c16="http://schemas.microsoft.com/office/drawing/2014/chart" uri="{C3380CC4-5D6E-409C-BE32-E72D297353CC}">
              <c16:uniqueId val="{00000000-C7D4-4BE5-8C08-1DEEC9E2AEB4}"/>
            </c:ext>
          </c:extLst>
        </c:ser>
        <c:dLbls>
          <c:dLblPos val="outEnd"/>
          <c:showLegendKey val="0"/>
          <c:showVal val="1"/>
          <c:showCatName val="0"/>
          <c:showSerName val="0"/>
          <c:showPercent val="0"/>
          <c:showBubbleSize val="0"/>
        </c:dLbls>
        <c:gapWidth val="50"/>
        <c:axId val="617460520"/>
        <c:axId val="617461576"/>
      </c:barChart>
      <c:catAx>
        <c:axId val="617460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Black" panose="020B0A04020102020204" pitchFamily="34" charset="0"/>
                <a:ea typeface="+mn-ea"/>
                <a:cs typeface="+mn-cs"/>
              </a:defRPr>
            </a:pPr>
            <a:endParaRPr lang="en-US"/>
          </a:p>
        </c:txPr>
        <c:crossAx val="617461576"/>
        <c:crosses val="autoZero"/>
        <c:auto val="1"/>
        <c:lblAlgn val="ctr"/>
        <c:lblOffset val="100"/>
        <c:noMultiLvlLbl val="0"/>
      </c:catAx>
      <c:valAx>
        <c:axId val="617461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Black" panose="020B0A04020102020204" pitchFamily="34" charset="0"/>
                <a:ea typeface="+mn-ea"/>
                <a:cs typeface="+mn-cs"/>
              </a:defRPr>
            </a:pPr>
            <a:endParaRPr lang="en-US"/>
          </a:p>
        </c:txPr>
        <c:crossAx val="617460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ZOMATO DASHBOARD.xlsx]PIVOT!PivotTable7</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latin typeface="Arial Black" panose="020B0A04020102020204" pitchFamily="34" charset="0"/>
              </a:rPr>
              <a:t>AVERAGE</a:t>
            </a:r>
            <a:r>
              <a:rPr lang="en-US" sz="1050" baseline="0">
                <a:latin typeface="Arial Black" panose="020B0A04020102020204" pitchFamily="34" charset="0"/>
              </a:rPr>
              <a:t> RATING BY RESTAURANT TYPE</a:t>
            </a:r>
            <a:endParaRPr lang="en-US" sz="105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PIVOT!$J$2:$J$6</c:f>
              <c:strCache>
                <c:ptCount val="4"/>
                <c:pt idx="0">
                  <c:v>Buffet</c:v>
                </c:pt>
                <c:pt idx="1">
                  <c:v>Cafes</c:v>
                </c:pt>
                <c:pt idx="2">
                  <c:v>Dining</c:v>
                </c:pt>
                <c:pt idx="3">
                  <c:v>other</c:v>
                </c:pt>
              </c:strCache>
            </c:strRef>
          </c:cat>
          <c:val>
            <c:numRef>
              <c:f>PIVOT!$K$2:$K$6</c:f>
              <c:numCache>
                <c:formatCode>0.00</c:formatCode>
                <c:ptCount val="4"/>
                <c:pt idx="0">
                  <c:v>3.842857142857143</c:v>
                </c:pt>
                <c:pt idx="1">
                  <c:v>3.7652173913043474</c:v>
                </c:pt>
                <c:pt idx="2">
                  <c:v>3.5718181818181796</c:v>
                </c:pt>
                <c:pt idx="3">
                  <c:v>3.9124999999999996</c:v>
                </c:pt>
              </c:numCache>
            </c:numRef>
          </c:val>
          <c:extLst>
            <c:ext xmlns:c16="http://schemas.microsoft.com/office/drawing/2014/chart" uri="{C3380CC4-5D6E-409C-BE32-E72D297353CC}">
              <c16:uniqueId val="{00000000-9434-4A96-B096-FD58891CE309}"/>
            </c:ext>
          </c:extLst>
        </c:ser>
        <c:dLbls>
          <c:dLblPos val="outEnd"/>
          <c:showLegendKey val="0"/>
          <c:showVal val="1"/>
          <c:showCatName val="0"/>
          <c:showSerName val="0"/>
          <c:showPercent val="0"/>
          <c:showBubbleSize val="0"/>
        </c:dLbls>
        <c:gapWidth val="50"/>
        <c:overlap val="-27"/>
        <c:axId val="531543960"/>
        <c:axId val="531544312"/>
      </c:barChart>
      <c:catAx>
        <c:axId val="531543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531544312"/>
        <c:crosses val="autoZero"/>
        <c:auto val="1"/>
        <c:lblAlgn val="ctr"/>
        <c:lblOffset val="100"/>
        <c:noMultiLvlLbl val="0"/>
      </c:catAx>
      <c:valAx>
        <c:axId val="5315443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531543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ZOMATO DASHBOARD.xlsx]PIVOT!PivotTable9</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latin typeface="Arial Black" panose="020B0A04020102020204" pitchFamily="34" charset="0"/>
              </a:rPr>
              <a:t>AVERAGE COST BY RESTAURANT TYPE</a:t>
            </a:r>
            <a:r>
              <a:rPr lang="en-US" sz="1050" baseline="0">
                <a:latin typeface="Arial Black" panose="020B0A04020102020204" pitchFamily="34" charset="0"/>
              </a:rPr>
              <a:t>  </a:t>
            </a:r>
            <a:endParaRPr lang="en-US" sz="105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0.12881862912915937"/>
              <c:y val="0.108906459794122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PIVOT!$K$10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C82-4195-8344-A4903628C87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C82-4195-8344-A4903628C87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C82-4195-8344-A4903628C87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C82-4195-8344-A4903628C874}"/>
              </c:ext>
            </c:extLst>
          </c:dPt>
          <c:dLbls>
            <c:dLbl>
              <c:idx val="0"/>
              <c:layout>
                <c:manualLayout>
                  <c:x val="-0.12881862912915937"/>
                  <c:y val="0.1089064597941220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82-4195-8344-A4903628C8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PIVOT!$J$11:$J$15</c:f>
              <c:strCache>
                <c:ptCount val="4"/>
                <c:pt idx="0">
                  <c:v>Buffet</c:v>
                </c:pt>
                <c:pt idx="1">
                  <c:v>Cafes</c:v>
                </c:pt>
                <c:pt idx="2">
                  <c:v>Dining</c:v>
                </c:pt>
                <c:pt idx="3">
                  <c:v>other</c:v>
                </c:pt>
              </c:strCache>
            </c:strRef>
          </c:cat>
          <c:val>
            <c:numRef>
              <c:f>PIVOT!$K$11:$K$15</c:f>
              <c:numCache>
                <c:formatCode>0.00</c:formatCode>
                <c:ptCount val="4"/>
                <c:pt idx="0">
                  <c:v>671.42857142857144</c:v>
                </c:pt>
                <c:pt idx="1">
                  <c:v>545.6521739130435</c:v>
                </c:pt>
                <c:pt idx="2">
                  <c:v>357.27272727272725</c:v>
                </c:pt>
                <c:pt idx="3">
                  <c:v>668.75</c:v>
                </c:pt>
              </c:numCache>
            </c:numRef>
          </c:val>
          <c:extLst>
            <c:ext xmlns:c16="http://schemas.microsoft.com/office/drawing/2014/chart" uri="{C3380CC4-5D6E-409C-BE32-E72D297353CC}">
              <c16:uniqueId val="{00000008-4C82-4195-8344-A4903628C87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ZOMATO DASHBOARD.xlsx]PIVOT!PivotTable1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ysClr val="windowText" lastClr="000000"/>
                </a:solidFill>
                <a:latin typeface="Arial Black" panose="020B0A04020102020204" pitchFamily="34" charset="0"/>
              </a:rPr>
              <a:t>RESTAURANT</a:t>
            </a:r>
            <a:r>
              <a:rPr lang="en-US" sz="1200" baseline="0">
                <a:solidFill>
                  <a:sysClr val="windowText" lastClr="000000"/>
                </a:solidFill>
                <a:latin typeface="Arial Black" panose="020B0A04020102020204" pitchFamily="34" charset="0"/>
              </a:rPr>
              <a:t> TYPE DISTRIBUTION</a:t>
            </a:r>
            <a:endParaRPr lang="en-US" sz="1200">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s>
    <c:plotArea>
      <c:layout/>
      <c:barChart>
        <c:barDir val="bar"/>
        <c:grouping val="clustered"/>
        <c:varyColors val="0"/>
        <c:ser>
          <c:idx val="0"/>
          <c:order val="0"/>
          <c:tx>
            <c:strRef>
              <c:f>PIVOT!$B$3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PIVOT!$A$4:$A$8</c:f>
              <c:strCache>
                <c:ptCount val="4"/>
                <c:pt idx="0">
                  <c:v>Dining</c:v>
                </c:pt>
                <c:pt idx="1">
                  <c:v>Cafes</c:v>
                </c:pt>
                <c:pt idx="2">
                  <c:v>other</c:v>
                </c:pt>
                <c:pt idx="3">
                  <c:v>Buffet</c:v>
                </c:pt>
              </c:strCache>
            </c:strRef>
          </c:cat>
          <c:val>
            <c:numRef>
              <c:f>PIVOT!$B$4:$B$8</c:f>
              <c:numCache>
                <c:formatCode>General</c:formatCode>
                <c:ptCount val="4"/>
                <c:pt idx="0">
                  <c:v>110</c:v>
                </c:pt>
                <c:pt idx="1">
                  <c:v>23</c:v>
                </c:pt>
                <c:pt idx="2">
                  <c:v>8</c:v>
                </c:pt>
                <c:pt idx="3">
                  <c:v>7</c:v>
                </c:pt>
              </c:numCache>
            </c:numRef>
          </c:val>
          <c:extLst>
            <c:ext xmlns:c16="http://schemas.microsoft.com/office/drawing/2014/chart" uri="{C3380CC4-5D6E-409C-BE32-E72D297353CC}">
              <c16:uniqueId val="{00000000-E11B-45F3-A4F3-1EBE07AFD3B4}"/>
            </c:ext>
          </c:extLst>
        </c:ser>
        <c:dLbls>
          <c:dLblPos val="outEnd"/>
          <c:showLegendKey val="0"/>
          <c:showVal val="1"/>
          <c:showCatName val="0"/>
          <c:showSerName val="0"/>
          <c:showPercent val="0"/>
          <c:showBubbleSize val="0"/>
        </c:dLbls>
        <c:gapWidth val="50"/>
        <c:axId val="533343728"/>
        <c:axId val="533341264"/>
      </c:barChart>
      <c:catAx>
        <c:axId val="533343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Black" panose="020B0A04020102020204" pitchFamily="34" charset="0"/>
                <a:ea typeface="+mn-ea"/>
                <a:cs typeface="+mn-cs"/>
              </a:defRPr>
            </a:pPr>
            <a:endParaRPr lang="en-US"/>
          </a:p>
        </c:txPr>
        <c:crossAx val="533341264"/>
        <c:crosses val="autoZero"/>
        <c:auto val="1"/>
        <c:lblAlgn val="ctr"/>
        <c:lblOffset val="100"/>
        <c:noMultiLvlLbl val="0"/>
      </c:catAx>
      <c:valAx>
        <c:axId val="533341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Black" panose="020B0A04020102020204" pitchFamily="34" charset="0"/>
                <a:ea typeface="+mn-ea"/>
                <a:cs typeface="+mn-cs"/>
              </a:defRPr>
            </a:pPr>
            <a:endParaRPr lang="en-US"/>
          </a:p>
        </c:txPr>
        <c:crossAx val="53334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ZOMATO DASHBOARD.xlsx]PIVOT!PivotTable4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AVG</a:t>
            </a:r>
            <a:r>
              <a:rPr lang="en-US" baseline="0">
                <a:latin typeface="Arial Black" panose="020B0A04020102020204" pitchFamily="34" charset="0"/>
              </a:rPr>
              <a:t> RATING BY TYPE</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solidFill>
              <a:srgbClr val="C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c:f>
              <c:strCache>
                <c:ptCount val="1"/>
                <c:pt idx="0">
                  <c:v>Total</c:v>
                </c:pt>
              </c:strCache>
            </c:strRef>
          </c:tx>
          <c:spPr>
            <a:solidFill>
              <a:srgbClr val="C00000"/>
            </a:solidFill>
            <a:ln>
              <a:solidFill>
                <a:srgbClr val="C0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PIVOT!$D$4:$D$8</c:f>
              <c:strCache>
                <c:ptCount val="4"/>
                <c:pt idx="0">
                  <c:v>other</c:v>
                </c:pt>
                <c:pt idx="1">
                  <c:v>Buffet</c:v>
                </c:pt>
                <c:pt idx="2">
                  <c:v>Cafes</c:v>
                </c:pt>
                <c:pt idx="3">
                  <c:v>Dining</c:v>
                </c:pt>
              </c:strCache>
            </c:strRef>
          </c:cat>
          <c:val>
            <c:numRef>
              <c:f>PIVOT!$E$4:$E$8</c:f>
              <c:numCache>
                <c:formatCode>0.00</c:formatCode>
                <c:ptCount val="4"/>
                <c:pt idx="0">
                  <c:v>3.9124999999999996</c:v>
                </c:pt>
                <c:pt idx="1">
                  <c:v>3.842857142857143</c:v>
                </c:pt>
                <c:pt idx="2">
                  <c:v>3.7652173913043474</c:v>
                </c:pt>
                <c:pt idx="3">
                  <c:v>3.5718181818181796</c:v>
                </c:pt>
              </c:numCache>
            </c:numRef>
          </c:val>
          <c:extLst>
            <c:ext xmlns:c16="http://schemas.microsoft.com/office/drawing/2014/chart" uri="{C3380CC4-5D6E-409C-BE32-E72D297353CC}">
              <c16:uniqueId val="{00000000-5404-4CBF-A25D-C1B7E29E3E3F}"/>
            </c:ext>
          </c:extLst>
        </c:ser>
        <c:dLbls>
          <c:showLegendKey val="0"/>
          <c:showVal val="0"/>
          <c:showCatName val="0"/>
          <c:showSerName val="0"/>
          <c:showPercent val="0"/>
          <c:showBubbleSize val="0"/>
        </c:dLbls>
        <c:gapWidth val="50"/>
        <c:overlap val="-27"/>
        <c:axId val="618608200"/>
        <c:axId val="618608552"/>
      </c:barChart>
      <c:catAx>
        <c:axId val="618608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618608552"/>
        <c:crosses val="autoZero"/>
        <c:auto val="1"/>
        <c:lblAlgn val="ctr"/>
        <c:lblOffset val="100"/>
        <c:noMultiLvlLbl val="0"/>
      </c:catAx>
      <c:valAx>
        <c:axId val="6186085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618608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ZOMATO DASHBOARD.xlsx]PIVOT!PivotTable2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latin typeface="Arial Black" panose="020B0A04020102020204" pitchFamily="34" charset="0"/>
              </a:rPr>
              <a:t>ONLINE</a:t>
            </a:r>
            <a:r>
              <a:rPr lang="en-US" sz="1800" baseline="0">
                <a:latin typeface="Arial Black" panose="020B0A04020102020204" pitchFamily="34" charset="0"/>
              </a:rPr>
              <a:t> ORDERS</a:t>
            </a:r>
            <a:endParaRPr lang="en-US" sz="18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dLbl>
          <c:idx val="0"/>
          <c:layout>
            <c:manualLayout>
              <c:x val="1.0753819422046521E-2"/>
              <c:y val="-2.99669452445191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6.0621582076745787E-3"/>
              <c:y val="-9.729323060880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PIVOT!$B$10</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1E7-4719-AA88-70413A3620E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11E7-4719-AA88-70413A3620E6}"/>
              </c:ext>
            </c:extLst>
          </c:dPt>
          <c:dLbls>
            <c:dLbl>
              <c:idx val="0"/>
              <c:layout>
                <c:manualLayout>
                  <c:x val="1.0753819422046521E-2"/>
                  <c:y val="-2.996694524451913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E7-4719-AA88-70413A3620E6}"/>
                </c:ext>
              </c:extLst>
            </c:dLbl>
            <c:dLbl>
              <c:idx val="1"/>
              <c:layout>
                <c:manualLayout>
                  <c:x val="-6.0621582076745787E-3"/>
                  <c:y val="-9.72932306088048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1E7-4719-AA88-70413A3620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PIVOT!$A$11:$A$13</c:f>
              <c:strCache>
                <c:ptCount val="2"/>
                <c:pt idx="0">
                  <c:v>No</c:v>
                </c:pt>
                <c:pt idx="1">
                  <c:v>Yes</c:v>
                </c:pt>
              </c:strCache>
            </c:strRef>
          </c:cat>
          <c:val>
            <c:numRef>
              <c:f>PIVOT!$B$11:$B$13</c:f>
              <c:numCache>
                <c:formatCode>General</c:formatCode>
                <c:ptCount val="2"/>
                <c:pt idx="0">
                  <c:v>90</c:v>
                </c:pt>
                <c:pt idx="1">
                  <c:v>58</c:v>
                </c:pt>
              </c:numCache>
            </c:numRef>
          </c:val>
          <c:extLst>
            <c:ext xmlns:c16="http://schemas.microsoft.com/office/drawing/2014/chart" uri="{C3380CC4-5D6E-409C-BE32-E72D297353CC}">
              <c16:uniqueId val="{00000004-11E7-4719-AA88-70413A3620E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Entry>
      <c:layout>
        <c:manualLayout>
          <c:xMode val="edge"/>
          <c:yMode val="edge"/>
          <c:x val="0.81706680878469629"/>
          <c:y val="0.49449445965851846"/>
          <c:w val="0.13742060895732669"/>
          <c:h val="0.343536605737252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ZOMATO DASHBOARD.xlsx]PIVOT!PivotTable3</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rial Black" panose="020B0A04020102020204" pitchFamily="34" charset="0"/>
              </a:rPr>
              <a:t>BOOK</a:t>
            </a:r>
            <a:r>
              <a:rPr lang="en-US" sz="1600" baseline="0">
                <a:latin typeface="Arial Black" panose="020B0A04020102020204" pitchFamily="34" charset="0"/>
              </a:rPr>
              <a:t> TABLE</a:t>
            </a:r>
            <a:endParaRPr lang="en-US" sz="16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rgbClr val="92D050"/>
            </a:solidFill>
          </a:ln>
          <a:effectLst/>
        </c:spPr>
        <c:dLbl>
          <c:idx val="0"/>
          <c:layout>
            <c:manualLayout>
              <c:x val="0.10063171418837499"/>
              <c:y val="-0.12858375159245444"/>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Black" panose="020B0A04020102020204" pitchFamily="34" charset="0"/>
                    <a:ea typeface="+mn-ea"/>
                    <a:cs typeface="+mn-cs"/>
                  </a:defRPr>
                </a:pPr>
                <a:fld id="{3A9390C9-8232-4103-9BB0-DA8497990160}" type="VALUE">
                  <a:rPr lang="en-US" b="1"/>
                  <a:pPr>
                    <a:defRPr sz="1100">
                      <a:latin typeface="Arial Black" panose="020B0A04020102020204"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layout>
            <c:manualLayout>
              <c:x val="-0.10464928025537788"/>
              <c:y val="8.5076207579315749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7013311241051111E-2"/>
                  <c:h val="0.12873294346978559"/>
                </c:manualLayout>
              </c15:layout>
            </c:ext>
          </c:extLst>
        </c:dLbl>
      </c:pivotFmt>
    </c:pivotFmts>
    <c:plotArea>
      <c:layout/>
      <c:pieChart>
        <c:varyColors val="1"/>
        <c:ser>
          <c:idx val="0"/>
          <c:order val="0"/>
          <c:tx>
            <c:strRef>
              <c:f>PIVOT!$B$15</c:f>
              <c:strCache>
                <c:ptCount val="1"/>
                <c:pt idx="0">
                  <c:v>Total</c:v>
                </c:pt>
              </c:strCache>
            </c:strRef>
          </c:tx>
          <c:dPt>
            <c:idx val="0"/>
            <c:bubble3D val="0"/>
            <c:spPr>
              <a:solidFill>
                <a:schemeClr val="accent1"/>
              </a:solidFill>
              <a:ln w="19050">
                <a:solidFill>
                  <a:srgbClr val="92D050"/>
                </a:solidFill>
              </a:ln>
              <a:effectLst/>
            </c:spPr>
            <c:extLst>
              <c:ext xmlns:c16="http://schemas.microsoft.com/office/drawing/2014/chart" uri="{C3380CC4-5D6E-409C-BE32-E72D297353CC}">
                <c16:uniqueId val="{00000001-39A9-433A-9511-697D47F4C7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A9-433A-9511-697D47F4C7E2}"/>
              </c:ext>
            </c:extLst>
          </c:dPt>
          <c:dLbls>
            <c:dLbl>
              <c:idx val="0"/>
              <c:layout>
                <c:manualLayout>
                  <c:x val="0.10063171418837499"/>
                  <c:y val="-0.12858375159245444"/>
                </c:manualLayout>
              </c:layout>
              <c:tx>
                <c:rich>
                  <a:bodyPr/>
                  <a:lstStyle/>
                  <a:p>
                    <a:fld id="{3A9390C9-8232-4103-9BB0-DA8497990160}" type="VALUE">
                      <a:rPr lang="en-US" b="1"/>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9A9-433A-9511-697D47F4C7E2}"/>
                </c:ext>
              </c:extLst>
            </c:dLbl>
            <c:dLbl>
              <c:idx val="1"/>
              <c:layout>
                <c:manualLayout>
                  <c:x val="-0.10464928025537788"/>
                  <c:y val="8.5076207579315749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7013311241051111E-2"/>
                      <c:h val="0.12873294346978559"/>
                    </c:manualLayout>
                  </c15:layout>
                </c:ext>
                <c:ext xmlns:c16="http://schemas.microsoft.com/office/drawing/2014/chart" uri="{C3380CC4-5D6E-409C-BE32-E72D297353CC}">
                  <c16:uniqueId val="{00000003-39A9-433A-9511-697D47F4C7E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PIVOT!$A$16:$A$18</c:f>
              <c:strCache>
                <c:ptCount val="2"/>
                <c:pt idx="0">
                  <c:v>No</c:v>
                </c:pt>
                <c:pt idx="1">
                  <c:v>Yes</c:v>
                </c:pt>
              </c:strCache>
            </c:strRef>
          </c:cat>
          <c:val>
            <c:numRef>
              <c:f>PIVOT!$B$16:$B$18</c:f>
              <c:numCache>
                <c:formatCode>General</c:formatCode>
                <c:ptCount val="2"/>
                <c:pt idx="0">
                  <c:v>140</c:v>
                </c:pt>
                <c:pt idx="1">
                  <c:v>8</c:v>
                </c:pt>
              </c:numCache>
            </c:numRef>
          </c:val>
          <c:extLst>
            <c:ext xmlns:c16="http://schemas.microsoft.com/office/drawing/2014/chart" uri="{C3380CC4-5D6E-409C-BE32-E72D297353CC}">
              <c16:uniqueId val="{00000004-39A9-433A-9511-697D47F4C7E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ZOMATO DASHBOARD.xlsx]Sheet4!PivotTable11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Sheet4!$A$4:$A$23</c:f>
              <c:strCache>
                <c:ptCount val="19"/>
                <c:pt idx="0">
                  <c:v>2.6</c:v>
                </c:pt>
                <c:pt idx="1">
                  <c:v>2.8</c:v>
                </c:pt>
                <c:pt idx="2">
                  <c:v>2.9</c:v>
                </c:pt>
                <c:pt idx="3">
                  <c:v>3</c:v>
                </c:pt>
                <c:pt idx="4">
                  <c:v>3.1</c:v>
                </c:pt>
                <c:pt idx="5">
                  <c:v>3.2</c:v>
                </c:pt>
                <c:pt idx="6">
                  <c:v>3.3</c:v>
                </c:pt>
                <c:pt idx="7">
                  <c:v>3.4</c:v>
                </c:pt>
                <c:pt idx="8">
                  <c:v>3.5</c:v>
                </c:pt>
                <c:pt idx="9">
                  <c:v>3.6</c:v>
                </c:pt>
                <c:pt idx="10">
                  <c:v>3.7</c:v>
                </c:pt>
                <c:pt idx="11">
                  <c:v>3.8</c:v>
                </c:pt>
                <c:pt idx="12">
                  <c:v>3.9</c:v>
                </c:pt>
                <c:pt idx="13">
                  <c:v>4</c:v>
                </c:pt>
                <c:pt idx="14">
                  <c:v>4.1</c:v>
                </c:pt>
                <c:pt idx="15">
                  <c:v>4.2</c:v>
                </c:pt>
                <c:pt idx="16">
                  <c:v>4.3</c:v>
                </c:pt>
                <c:pt idx="17">
                  <c:v>4.4</c:v>
                </c:pt>
                <c:pt idx="18">
                  <c:v>4.6</c:v>
                </c:pt>
              </c:strCache>
            </c:strRef>
          </c:cat>
          <c:val>
            <c:numRef>
              <c:f>Sheet4!$B$4:$B$23</c:f>
              <c:numCache>
                <c:formatCode>General</c:formatCode>
                <c:ptCount val="19"/>
                <c:pt idx="0">
                  <c:v>1</c:v>
                </c:pt>
                <c:pt idx="1">
                  <c:v>2</c:v>
                </c:pt>
                <c:pt idx="2">
                  <c:v>7</c:v>
                </c:pt>
                <c:pt idx="3">
                  <c:v>2</c:v>
                </c:pt>
                <c:pt idx="4">
                  <c:v>7</c:v>
                </c:pt>
                <c:pt idx="5">
                  <c:v>7</c:v>
                </c:pt>
                <c:pt idx="6">
                  <c:v>14</c:v>
                </c:pt>
                <c:pt idx="7">
                  <c:v>12</c:v>
                </c:pt>
                <c:pt idx="8">
                  <c:v>6</c:v>
                </c:pt>
                <c:pt idx="9">
                  <c:v>11</c:v>
                </c:pt>
                <c:pt idx="10">
                  <c:v>15</c:v>
                </c:pt>
                <c:pt idx="11">
                  <c:v>20</c:v>
                </c:pt>
                <c:pt idx="12">
                  <c:v>10</c:v>
                </c:pt>
                <c:pt idx="13">
                  <c:v>10</c:v>
                </c:pt>
                <c:pt idx="14">
                  <c:v>11</c:v>
                </c:pt>
                <c:pt idx="15">
                  <c:v>8</c:v>
                </c:pt>
                <c:pt idx="16">
                  <c:v>1</c:v>
                </c:pt>
                <c:pt idx="17">
                  <c:v>2</c:v>
                </c:pt>
                <c:pt idx="18">
                  <c:v>2</c:v>
                </c:pt>
              </c:numCache>
            </c:numRef>
          </c:val>
          <c:extLst>
            <c:ext xmlns:c16="http://schemas.microsoft.com/office/drawing/2014/chart" uri="{C3380CC4-5D6E-409C-BE32-E72D297353CC}">
              <c16:uniqueId val="{00000000-C12F-40AE-81F2-6064CB0B8F6A}"/>
            </c:ext>
          </c:extLst>
        </c:ser>
        <c:dLbls>
          <c:showLegendKey val="0"/>
          <c:showVal val="0"/>
          <c:showCatName val="0"/>
          <c:showSerName val="0"/>
          <c:showPercent val="0"/>
          <c:showBubbleSize val="0"/>
        </c:dLbls>
        <c:gapWidth val="219"/>
        <c:overlap val="-27"/>
        <c:axId val="617472488"/>
        <c:axId val="617474248"/>
      </c:barChart>
      <c:catAx>
        <c:axId val="617472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474248"/>
        <c:crosses val="autoZero"/>
        <c:auto val="1"/>
        <c:lblAlgn val="ctr"/>
        <c:lblOffset val="100"/>
        <c:noMultiLvlLbl val="0"/>
      </c:catAx>
      <c:valAx>
        <c:axId val="617474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472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image" Target="../media/image5.png"/><Relationship Id="rId11" Type="http://schemas.openxmlformats.org/officeDocument/2006/relationships/chart" Target="../charts/chart16.xml"/><Relationship Id="rId5" Type="http://schemas.openxmlformats.org/officeDocument/2006/relationships/image" Target="../media/image4.png"/><Relationship Id="rId10" Type="http://schemas.openxmlformats.org/officeDocument/2006/relationships/chart" Target="../charts/chart15.xml"/><Relationship Id="rId4" Type="http://schemas.openxmlformats.org/officeDocument/2006/relationships/chart" Target="../charts/chart13.xml"/><Relationship Id="rId9"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49161</xdr:colOff>
      <xdr:row>27</xdr:row>
      <xdr:rowOff>49467</xdr:rowOff>
    </xdr:from>
    <xdr:to>
      <xdr:col>6</xdr:col>
      <xdr:colOff>872612</xdr:colOff>
      <xdr:row>42</xdr:row>
      <xdr:rowOff>27345</xdr:rowOff>
    </xdr:to>
    <xdr:graphicFrame macro="">
      <xdr:nvGraphicFramePr>
        <xdr:cNvPr id="7" name="Chart 6">
          <a:extLst>
            <a:ext uri="{FF2B5EF4-FFF2-40B4-BE49-F238E27FC236}">
              <a16:creationId xmlns:a16="http://schemas.microsoft.com/office/drawing/2014/main" id="{F143F2D6-7330-6C8B-8FD3-916E37110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1462549</xdr:colOff>
      <xdr:row>40</xdr:row>
      <xdr:rowOff>141644</xdr:rowOff>
    </xdr:from>
    <xdr:to>
      <xdr:col>11</xdr:col>
      <xdr:colOff>611444</xdr:colOff>
      <xdr:row>55</xdr:row>
      <xdr:rowOff>119522</xdr:rowOff>
    </xdr:to>
    <xdr:graphicFrame macro="">
      <xdr:nvGraphicFramePr>
        <xdr:cNvPr id="9" name="Chart 8">
          <a:extLst>
            <a:ext uri="{FF2B5EF4-FFF2-40B4-BE49-F238E27FC236}">
              <a16:creationId xmlns:a16="http://schemas.microsoft.com/office/drawing/2014/main" id="{72177E76-B251-CFE1-2644-FCFFA96BE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909483</xdr:colOff>
      <xdr:row>3</xdr:row>
      <xdr:rowOff>141645</xdr:rowOff>
    </xdr:from>
    <xdr:to>
      <xdr:col>6</xdr:col>
      <xdr:colOff>1026240</xdr:colOff>
      <xdr:row>18</xdr:row>
      <xdr:rowOff>119523</xdr:rowOff>
    </xdr:to>
    <xdr:graphicFrame macro="">
      <xdr:nvGraphicFramePr>
        <xdr:cNvPr id="10" name="Chart 9">
          <a:extLst>
            <a:ext uri="{FF2B5EF4-FFF2-40B4-BE49-F238E27FC236}">
              <a16:creationId xmlns:a16="http://schemas.microsoft.com/office/drawing/2014/main" id="{67388A9B-E6F5-C3D3-9C8D-BBFAC2B42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540774</xdr:colOff>
      <xdr:row>9</xdr:row>
      <xdr:rowOff>64830</xdr:rowOff>
    </xdr:from>
    <xdr:to>
      <xdr:col>10</xdr:col>
      <xdr:colOff>2362814</xdr:colOff>
      <xdr:row>24</xdr:row>
      <xdr:rowOff>42708</xdr:rowOff>
    </xdr:to>
    <xdr:graphicFrame macro="">
      <xdr:nvGraphicFramePr>
        <xdr:cNvPr id="11" name="Chart 10">
          <a:extLst>
            <a:ext uri="{FF2B5EF4-FFF2-40B4-BE49-F238E27FC236}">
              <a16:creationId xmlns:a16="http://schemas.microsoft.com/office/drawing/2014/main" id="{C419B38D-E3AB-4FFA-95EE-AD6C582C1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28575</xdr:rowOff>
    </xdr:from>
    <xdr:to>
      <xdr:col>17</xdr:col>
      <xdr:colOff>38101</xdr:colOff>
      <xdr:row>29</xdr:row>
      <xdr:rowOff>180975</xdr:rowOff>
    </xdr:to>
    <xdr:sp macro="" textlink="">
      <xdr:nvSpPr>
        <xdr:cNvPr id="2" name="Rectangle 1">
          <a:extLst>
            <a:ext uri="{FF2B5EF4-FFF2-40B4-BE49-F238E27FC236}">
              <a16:creationId xmlns:a16="http://schemas.microsoft.com/office/drawing/2014/main" id="{858B5CF4-D01D-B401-6B89-65D2CB88131A}"/>
            </a:ext>
          </a:extLst>
        </xdr:cNvPr>
        <xdr:cNvSpPr/>
      </xdr:nvSpPr>
      <xdr:spPr>
        <a:xfrm>
          <a:off x="0" y="28575"/>
          <a:ext cx="10401301" cy="56769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47625</xdr:colOff>
      <xdr:row>0</xdr:row>
      <xdr:rowOff>38100</xdr:rowOff>
    </xdr:from>
    <xdr:to>
      <xdr:col>17</xdr:col>
      <xdr:colOff>0</xdr:colOff>
      <xdr:row>4</xdr:row>
      <xdr:rowOff>0</xdr:rowOff>
    </xdr:to>
    <xdr:sp macro="" textlink="">
      <xdr:nvSpPr>
        <xdr:cNvPr id="3" name="Rectangle: Rounded Corners 2">
          <a:extLst>
            <a:ext uri="{FF2B5EF4-FFF2-40B4-BE49-F238E27FC236}">
              <a16:creationId xmlns:a16="http://schemas.microsoft.com/office/drawing/2014/main" id="{1A3C4384-29BE-B749-6580-6A6FE311A07A}"/>
            </a:ext>
          </a:extLst>
        </xdr:cNvPr>
        <xdr:cNvSpPr/>
      </xdr:nvSpPr>
      <xdr:spPr>
        <a:xfrm>
          <a:off x="47625" y="38100"/>
          <a:ext cx="10315575" cy="723900"/>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209550</xdr:colOff>
      <xdr:row>0</xdr:row>
      <xdr:rowOff>133350</xdr:rowOff>
    </xdr:from>
    <xdr:to>
      <xdr:col>14</xdr:col>
      <xdr:colOff>447675</xdr:colOff>
      <xdr:row>3</xdr:row>
      <xdr:rowOff>28575</xdr:rowOff>
    </xdr:to>
    <xdr:sp macro="" textlink="">
      <xdr:nvSpPr>
        <xdr:cNvPr id="4" name="TextBox 3">
          <a:extLst>
            <a:ext uri="{FF2B5EF4-FFF2-40B4-BE49-F238E27FC236}">
              <a16:creationId xmlns:a16="http://schemas.microsoft.com/office/drawing/2014/main" id="{6B30DD6B-D6DE-1AA7-6369-981ED7D2227D}"/>
            </a:ext>
          </a:extLst>
        </xdr:cNvPr>
        <xdr:cNvSpPr txBox="1"/>
      </xdr:nvSpPr>
      <xdr:spPr>
        <a:xfrm>
          <a:off x="2647950" y="133350"/>
          <a:ext cx="6334125" cy="466725"/>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latin typeface="Arial Black" panose="020B0A04020102020204" pitchFamily="34" charset="0"/>
            </a:rPr>
            <a:t>CUSTOMER</a:t>
          </a:r>
          <a:r>
            <a:rPr lang="en-US" sz="2400" baseline="0">
              <a:latin typeface="Arial Black" panose="020B0A04020102020204" pitchFamily="34" charset="0"/>
            </a:rPr>
            <a:t> AND ORDER ANALYSIS</a:t>
          </a:r>
          <a:endParaRPr lang="en-US" sz="2400">
            <a:latin typeface="Arial Black" panose="020B0A04020102020204" pitchFamily="34" charset="0"/>
          </a:endParaRPr>
        </a:p>
      </xdr:txBody>
    </xdr:sp>
    <xdr:clientData/>
  </xdr:twoCellAnchor>
  <xdr:twoCellAnchor>
    <xdr:from>
      <xdr:col>0</xdr:col>
      <xdr:colOff>200026</xdr:colOff>
      <xdr:row>4</xdr:row>
      <xdr:rowOff>104775</xdr:rowOff>
    </xdr:from>
    <xdr:to>
      <xdr:col>8</xdr:col>
      <xdr:colOff>257176</xdr:colOff>
      <xdr:row>15</xdr:row>
      <xdr:rowOff>142875</xdr:rowOff>
    </xdr:to>
    <xdr:graphicFrame macro="">
      <xdr:nvGraphicFramePr>
        <xdr:cNvPr id="8" name="Chart 7">
          <a:extLst>
            <a:ext uri="{FF2B5EF4-FFF2-40B4-BE49-F238E27FC236}">
              <a16:creationId xmlns:a16="http://schemas.microsoft.com/office/drawing/2014/main" id="{A6C32243-BB25-4966-A91F-ECC662CC2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523875</xdr:colOff>
      <xdr:row>4</xdr:row>
      <xdr:rowOff>123826</xdr:rowOff>
    </xdr:from>
    <xdr:to>
      <xdr:col>16</xdr:col>
      <xdr:colOff>533401</xdr:colOff>
      <xdr:row>15</xdr:row>
      <xdr:rowOff>123826</xdr:rowOff>
    </xdr:to>
    <xdr:graphicFrame macro="">
      <xdr:nvGraphicFramePr>
        <xdr:cNvPr id="11" name="Chart 10">
          <a:extLst>
            <a:ext uri="{FF2B5EF4-FFF2-40B4-BE49-F238E27FC236}">
              <a16:creationId xmlns:a16="http://schemas.microsoft.com/office/drawing/2014/main" id="{805C0832-7589-4C9D-8709-57FDD374B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200025</xdr:colOff>
      <xdr:row>16</xdr:row>
      <xdr:rowOff>152400</xdr:rowOff>
    </xdr:from>
    <xdr:to>
      <xdr:col>8</xdr:col>
      <xdr:colOff>314325</xdr:colOff>
      <xdr:row>28</xdr:row>
      <xdr:rowOff>133350</xdr:rowOff>
    </xdr:to>
    <xdr:graphicFrame macro="">
      <xdr:nvGraphicFramePr>
        <xdr:cNvPr id="12" name="Chart 11">
          <a:extLst>
            <a:ext uri="{FF2B5EF4-FFF2-40B4-BE49-F238E27FC236}">
              <a16:creationId xmlns:a16="http://schemas.microsoft.com/office/drawing/2014/main" id="{162C4F32-4BA1-49E8-80DF-5A09CDF21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533400</xdr:colOff>
      <xdr:row>16</xdr:row>
      <xdr:rowOff>142874</xdr:rowOff>
    </xdr:from>
    <xdr:to>
      <xdr:col>16</xdr:col>
      <xdr:colOff>533400</xdr:colOff>
      <xdr:row>28</xdr:row>
      <xdr:rowOff>123825</xdr:rowOff>
    </xdr:to>
    <xdr:graphicFrame macro="">
      <xdr:nvGraphicFramePr>
        <xdr:cNvPr id="13" name="Chart 12">
          <a:extLst>
            <a:ext uri="{FF2B5EF4-FFF2-40B4-BE49-F238E27FC236}">
              <a16:creationId xmlns:a16="http://schemas.microsoft.com/office/drawing/2014/main" id="{417D4120-CE9A-4D39-AD02-7EF8F4800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590552</xdr:colOff>
      <xdr:row>29</xdr:row>
      <xdr:rowOff>174830</xdr:rowOff>
    </xdr:to>
    <xdr:grpSp>
      <xdr:nvGrpSpPr>
        <xdr:cNvPr id="16" name="Group 15">
          <a:extLst>
            <a:ext uri="{FF2B5EF4-FFF2-40B4-BE49-F238E27FC236}">
              <a16:creationId xmlns:a16="http://schemas.microsoft.com/office/drawing/2014/main" id="{77D35F03-C25B-C2C1-7A0C-A6DE6C8EDF47}"/>
            </a:ext>
          </a:extLst>
        </xdr:cNvPr>
        <xdr:cNvGrpSpPr/>
      </xdr:nvGrpSpPr>
      <xdr:grpSpPr>
        <a:xfrm>
          <a:off x="0" y="0"/>
          <a:ext cx="9734552" cy="5699330"/>
          <a:chOff x="0" y="0"/>
          <a:chExt cx="9734552" cy="5699330"/>
        </a:xfrm>
      </xdr:grpSpPr>
      <xdr:grpSp>
        <xdr:nvGrpSpPr>
          <xdr:cNvPr id="14" name="Group 13">
            <a:extLst>
              <a:ext uri="{FF2B5EF4-FFF2-40B4-BE49-F238E27FC236}">
                <a16:creationId xmlns:a16="http://schemas.microsoft.com/office/drawing/2014/main" id="{46631F80-FAA2-5CEF-1C8C-4BC003BEF10D}"/>
              </a:ext>
            </a:extLst>
          </xdr:cNvPr>
          <xdr:cNvGrpSpPr/>
        </xdr:nvGrpSpPr>
        <xdr:grpSpPr>
          <a:xfrm>
            <a:off x="0" y="0"/>
            <a:ext cx="9734552" cy="5699330"/>
            <a:chOff x="2519246" y="8296"/>
            <a:chExt cx="9750182" cy="5840984"/>
          </a:xfrm>
        </xdr:grpSpPr>
        <xdr:sp macro="" textlink="">
          <xdr:nvSpPr>
            <xdr:cNvPr id="4" name="TextBox 3">
              <a:extLst>
                <a:ext uri="{FF2B5EF4-FFF2-40B4-BE49-F238E27FC236}">
                  <a16:creationId xmlns:a16="http://schemas.microsoft.com/office/drawing/2014/main" id="{FB55F66B-F3B6-A512-5034-16AA77E45EE5}"/>
                </a:ext>
              </a:extLst>
            </xdr:cNvPr>
            <xdr:cNvSpPr txBox="1"/>
          </xdr:nvSpPr>
          <xdr:spPr>
            <a:xfrm>
              <a:off x="3077309" y="61059"/>
              <a:ext cx="8303846" cy="573942"/>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latin typeface="Arial Black" panose="020B0A04020102020204" pitchFamily="34" charset="0"/>
                </a:rPr>
                <a:t>RESTAURANT ANALYSIS</a:t>
              </a:r>
            </a:p>
          </xdr:txBody>
        </xdr:sp>
        <xdr:grpSp>
          <xdr:nvGrpSpPr>
            <xdr:cNvPr id="13" name="Group 12">
              <a:extLst>
                <a:ext uri="{FF2B5EF4-FFF2-40B4-BE49-F238E27FC236}">
                  <a16:creationId xmlns:a16="http://schemas.microsoft.com/office/drawing/2014/main" id="{3B74E118-DB90-7625-C275-DE15101087A0}"/>
                </a:ext>
              </a:extLst>
            </xdr:cNvPr>
            <xdr:cNvGrpSpPr/>
          </xdr:nvGrpSpPr>
          <xdr:grpSpPr>
            <a:xfrm>
              <a:off x="2519246" y="8296"/>
              <a:ext cx="9750182" cy="5840984"/>
              <a:chOff x="47624" y="19050"/>
              <a:chExt cx="9734551" cy="5705475"/>
            </a:xfrm>
          </xdr:grpSpPr>
          <xdr:sp macro="" textlink="">
            <xdr:nvSpPr>
              <xdr:cNvPr id="2" name="Rectangle 1">
                <a:extLst>
                  <a:ext uri="{FF2B5EF4-FFF2-40B4-BE49-F238E27FC236}">
                    <a16:creationId xmlns:a16="http://schemas.microsoft.com/office/drawing/2014/main" id="{566CEC02-3E91-FECF-0A3C-3B65AD8B7414}"/>
                  </a:ext>
                </a:extLst>
              </xdr:cNvPr>
              <xdr:cNvSpPr/>
            </xdr:nvSpPr>
            <xdr:spPr>
              <a:xfrm>
                <a:off x="47624" y="19050"/>
                <a:ext cx="9734551" cy="57054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0350C256-81DF-F477-9C04-50011ED46F91}"/>
                  </a:ext>
                </a:extLst>
              </xdr:cNvPr>
              <xdr:cNvSpPr/>
            </xdr:nvSpPr>
            <xdr:spPr>
              <a:xfrm>
                <a:off x="114300" y="57150"/>
                <a:ext cx="9620250" cy="590550"/>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 name="Chart 4">
                <a:extLst>
                  <a:ext uri="{FF2B5EF4-FFF2-40B4-BE49-F238E27FC236}">
                    <a16:creationId xmlns:a16="http://schemas.microsoft.com/office/drawing/2014/main" id="{3580989B-3EFA-43D2-AA5B-70072135DEDA}"/>
                  </a:ext>
                </a:extLst>
              </xdr:cNvPr>
              <xdr:cNvGraphicFramePr>
                <a:graphicFrameLocks/>
              </xdr:cNvGraphicFramePr>
            </xdr:nvGraphicFramePr>
            <xdr:xfrm>
              <a:off x="4162425" y="768353"/>
              <a:ext cx="3714749" cy="246697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60A862C6-3900-4533-815E-91698D8FE0AE}"/>
                  </a:ext>
                </a:extLst>
              </xdr:cNvPr>
              <xdr:cNvGraphicFramePr>
                <a:graphicFrameLocks/>
              </xdr:cNvGraphicFramePr>
            </xdr:nvGraphicFramePr>
            <xdr:xfrm>
              <a:off x="104776" y="752476"/>
              <a:ext cx="3790950" cy="241935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 name="Chart 7">
                <a:extLst>
                  <a:ext uri="{FF2B5EF4-FFF2-40B4-BE49-F238E27FC236}">
                    <a16:creationId xmlns:a16="http://schemas.microsoft.com/office/drawing/2014/main" id="{D073BE38-B3A5-4911-982D-26F08A05487A}"/>
                  </a:ext>
                </a:extLst>
              </xdr:cNvPr>
              <xdr:cNvGraphicFramePr>
                <a:graphicFrameLocks/>
              </xdr:cNvGraphicFramePr>
            </xdr:nvGraphicFramePr>
            <xdr:xfrm>
              <a:off x="4119006" y="3305174"/>
              <a:ext cx="3958193" cy="236615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9" name="Chart 8">
                <a:extLst>
                  <a:ext uri="{FF2B5EF4-FFF2-40B4-BE49-F238E27FC236}">
                    <a16:creationId xmlns:a16="http://schemas.microsoft.com/office/drawing/2014/main" id="{A0B36A9B-C46B-40CA-B2F4-8642F250D10C}"/>
                  </a:ext>
                </a:extLst>
              </xdr:cNvPr>
              <xdr:cNvGraphicFramePr>
                <a:graphicFrameLocks/>
              </xdr:cNvGraphicFramePr>
            </xdr:nvGraphicFramePr>
            <xdr:xfrm>
              <a:off x="161925" y="3282165"/>
              <a:ext cx="3724275" cy="2366159"/>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10" name="name 1">
                    <a:extLst>
                      <a:ext uri="{FF2B5EF4-FFF2-40B4-BE49-F238E27FC236}">
                        <a16:creationId xmlns:a16="http://schemas.microsoft.com/office/drawing/2014/main" id="{C7DE56EE-90C5-4DDB-98A6-9BE55784C384}"/>
                      </a:ext>
                    </a:extLst>
                  </xdr:cNvPr>
                  <xdr:cNvGraphicFramePr/>
                </xdr:nvGraphicFramePr>
                <xdr:xfrm>
                  <a:off x="8162924" y="742949"/>
                  <a:ext cx="1554480" cy="2238376"/>
                </xdr:xfrm>
                <a:graphic>
                  <a:graphicData uri="http://schemas.microsoft.com/office/drawing/2010/slicer">
                    <sle:slicer xmlns:sle="http://schemas.microsoft.com/office/drawing/2010/slicer" name="name 1"/>
                  </a:graphicData>
                </a:graphic>
              </xdr:graphicFrame>
            </mc:Choice>
            <mc:Fallback xmlns="">
              <xdr:sp macro="" textlink="">
                <xdr:nvSpPr>
                  <xdr:cNvPr id="0" name=""/>
                  <xdr:cNvSpPr>
                    <a:spLocks noTextEdit="1"/>
                  </xdr:cNvSpPr>
                </xdr:nvSpPr>
                <xdr:spPr>
                  <a:xfrm>
                    <a:off x="8115301" y="723119"/>
                    <a:ext cx="1554480" cy="2235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online_order 1">
                    <a:extLst>
                      <a:ext uri="{FF2B5EF4-FFF2-40B4-BE49-F238E27FC236}">
                        <a16:creationId xmlns:a16="http://schemas.microsoft.com/office/drawing/2014/main" id="{4C6B3E1E-2470-4EF9-8D59-511C5B6BD48C}"/>
                      </a:ext>
                    </a:extLst>
                  </xdr:cNvPr>
                  <xdr:cNvGraphicFramePr/>
                </xdr:nvGraphicFramePr>
                <xdr:xfrm>
                  <a:off x="8162924" y="4638674"/>
                  <a:ext cx="1554480" cy="990601"/>
                </xdr:xfrm>
                <a:graphic>
                  <a:graphicData uri="http://schemas.microsoft.com/office/drawing/2010/slicer">
                    <sle:slicer xmlns:sle="http://schemas.microsoft.com/office/drawing/2010/slicer" name="online_order 1"/>
                  </a:graphicData>
                </a:graphic>
              </xdr:graphicFrame>
            </mc:Choice>
            <mc:Fallback xmlns="">
              <xdr:sp macro="" textlink="">
                <xdr:nvSpPr>
                  <xdr:cNvPr id="0" name=""/>
                  <xdr:cNvSpPr>
                    <a:spLocks noTextEdit="1"/>
                  </xdr:cNvSpPr>
                </xdr:nvSpPr>
                <xdr:spPr>
                  <a:xfrm>
                    <a:off x="8115301" y="4614649"/>
                    <a:ext cx="1554480" cy="9895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listed_in(type) 2">
                    <a:extLst>
                      <a:ext uri="{FF2B5EF4-FFF2-40B4-BE49-F238E27FC236}">
                        <a16:creationId xmlns:a16="http://schemas.microsoft.com/office/drawing/2014/main" id="{3F97D682-6BD5-4377-99D2-3E515A661CE0}"/>
                      </a:ext>
                    </a:extLst>
                  </xdr:cNvPr>
                  <xdr:cNvGraphicFramePr/>
                </xdr:nvGraphicFramePr>
                <xdr:xfrm>
                  <a:off x="8156987" y="3076574"/>
                  <a:ext cx="1554480" cy="1428751"/>
                </xdr:xfrm>
                <a:graphic>
                  <a:graphicData uri="http://schemas.microsoft.com/office/drawing/2010/slicer">
                    <sle:slicer xmlns:sle="http://schemas.microsoft.com/office/drawing/2010/slicer" name="listed_in(type) 2"/>
                  </a:graphicData>
                </a:graphic>
              </xdr:graphicFrame>
            </mc:Choice>
            <mc:Fallback xmlns="">
              <xdr:sp macro="" textlink="">
                <xdr:nvSpPr>
                  <xdr:cNvPr id="0" name=""/>
                  <xdr:cNvSpPr>
                    <a:spLocks noTextEdit="1"/>
                  </xdr:cNvSpPr>
                </xdr:nvSpPr>
                <xdr:spPr>
                  <a:xfrm>
                    <a:off x="8109364" y="3054231"/>
                    <a:ext cx="1554480" cy="1427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sp macro="" textlink="">
        <xdr:nvSpPr>
          <xdr:cNvPr id="15" name="TextBox 14">
            <a:extLst>
              <a:ext uri="{FF2B5EF4-FFF2-40B4-BE49-F238E27FC236}">
                <a16:creationId xmlns:a16="http://schemas.microsoft.com/office/drawing/2014/main" id="{3234EC22-365B-D191-EFF9-976763618D10}"/>
              </a:ext>
            </a:extLst>
          </xdr:cNvPr>
          <xdr:cNvSpPr txBox="1"/>
        </xdr:nvSpPr>
        <xdr:spPr>
          <a:xfrm>
            <a:off x="1460500" y="152400"/>
            <a:ext cx="54102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latin typeface="Arial Black" panose="020B0A04020102020204" pitchFamily="34" charset="0"/>
              </a:rPr>
              <a:t>RESTAURANT ANALYSIS</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257175</xdr:colOff>
      <xdr:row>0</xdr:row>
      <xdr:rowOff>0</xdr:rowOff>
    </xdr:from>
    <xdr:to>
      <xdr:col>23</xdr:col>
      <xdr:colOff>489681</xdr:colOff>
      <xdr:row>43</xdr:row>
      <xdr:rowOff>165571</xdr:rowOff>
    </xdr:to>
    <xdr:grpSp>
      <xdr:nvGrpSpPr>
        <xdr:cNvPr id="44" name="Group 43">
          <a:extLst>
            <a:ext uri="{FF2B5EF4-FFF2-40B4-BE49-F238E27FC236}">
              <a16:creationId xmlns:a16="http://schemas.microsoft.com/office/drawing/2014/main" id="{F3B68B12-6DE1-420E-BEDB-4806A410443D}"/>
            </a:ext>
          </a:extLst>
        </xdr:cNvPr>
        <xdr:cNvGrpSpPr/>
      </xdr:nvGrpSpPr>
      <xdr:grpSpPr>
        <a:xfrm>
          <a:off x="257175" y="0"/>
          <a:ext cx="14043756" cy="8178995"/>
          <a:chOff x="161926" y="17782"/>
          <a:chExt cx="10796726" cy="8356167"/>
        </a:xfrm>
      </xdr:grpSpPr>
      <xdr:grpSp>
        <xdr:nvGrpSpPr>
          <xdr:cNvPr id="43" name="Group 42">
            <a:extLst>
              <a:ext uri="{FF2B5EF4-FFF2-40B4-BE49-F238E27FC236}">
                <a16:creationId xmlns:a16="http://schemas.microsoft.com/office/drawing/2014/main" id="{5F1861AF-79AB-B07F-8926-4EA93909C9B5}"/>
              </a:ext>
            </a:extLst>
          </xdr:cNvPr>
          <xdr:cNvGrpSpPr/>
        </xdr:nvGrpSpPr>
        <xdr:grpSpPr>
          <a:xfrm>
            <a:off x="161926" y="17782"/>
            <a:ext cx="10796726" cy="8356167"/>
            <a:chOff x="104776" y="55882"/>
            <a:chExt cx="10796726" cy="8356167"/>
          </a:xfrm>
        </xdr:grpSpPr>
        <xdr:grpSp>
          <xdr:nvGrpSpPr>
            <xdr:cNvPr id="24" name="Group 23">
              <a:extLst>
                <a:ext uri="{FF2B5EF4-FFF2-40B4-BE49-F238E27FC236}">
                  <a16:creationId xmlns:a16="http://schemas.microsoft.com/office/drawing/2014/main" id="{3FC11600-C624-CFD0-97D6-AA016827828F}"/>
                </a:ext>
              </a:extLst>
            </xdr:cNvPr>
            <xdr:cNvGrpSpPr/>
          </xdr:nvGrpSpPr>
          <xdr:grpSpPr>
            <a:xfrm>
              <a:off x="104776" y="55882"/>
              <a:ext cx="10796726" cy="8356167"/>
              <a:chOff x="57151" y="66675"/>
              <a:chExt cx="10796726" cy="5778566"/>
            </a:xfrm>
          </xdr:grpSpPr>
          <xdr:sp macro="" textlink="">
            <xdr:nvSpPr>
              <xdr:cNvPr id="3" name="Rectangle 2">
                <a:extLst>
                  <a:ext uri="{FF2B5EF4-FFF2-40B4-BE49-F238E27FC236}">
                    <a16:creationId xmlns:a16="http://schemas.microsoft.com/office/drawing/2014/main" id="{7D8F5C7B-F0D4-9847-056A-187165C3A907}"/>
                  </a:ext>
                </a:extLst>
              </xdr:cNvPr>
              <xdr:cNvSpPr/>
            </xdr:nvSpPr>
            <xdr:spPr>
              <a:xfrm>
                <a:off x="485136" y="107217"/>
                <a:ext cx="10368741" cy="5738024"/>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a:t>+</a:t>
                </a:r>
              </a:p>
            </xdr:txBody>
          </xdr:sp>
          <xdr:sp macro="" textlink="">
            <xdr:nvSpPr>
              <xdr:cNvPr id="4" name="Rectangle: Rounded Corners 3">
                <a:extLst>
                  <a:ext uri="{FF2B5EF4-FFF2-40B4-BE49-F238E27FC236}">
                    <a16:creationId xmlns:a16="http://schemas.microsoft.com/office/drawing/2014/main" id="{41496693-E305-AE02-030A-31E8B851ACC4}"/>
                  </a:ext>
                </a:extLst>
              </xdr:cNvPr>
              <xdr:cNvSpPr/>
            </xdr:nvSpPr>
            <xdr:spPr>
              <a:xfrm>
                <a:off x="57151" y="66675"/>
                <a:ext cx="2076450" cy="5736757"/>
              </a:xfrm>
              <a:prstGeom prst="roundRect">
                <a:avLst/>
              </a:prstGeom>
              <a:solidFill>
                <a:srgbClr val="FF050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6" name="Picture 5">
                <a:extLst>
                  <a:ext uri="{FF2B5EF4-FFF2-40B4-BE49-F238E27FC236}">
                    <a16:creationId xmlns:a16="http://schemas.microsoft.com/office/drawing/2014/main" id="{868F8F01-441E-2B5C-3B49-ABB29121A1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 y="238126"/>
                <a:ext cx="2000250" cy="116204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sp macro="" textlink="">
            <xdr:nvSpPr>
              <xdr:cNvPr id="7" name="TextBox 6">
                <a:extLst>
                  <a:ext uri="{FF2B5EF4-FFF2-40B4-BE49-F238E27FC236}">
                    <a16:creationId xmlns:a16="http://schemas.microsoft.com/office/drawing/2014/main" id="{8777C5ED-421D-80D5-A66D-1F4AEA465A00}"/>
                  </a:ext>
                </a:extLst>
              </xdr:cNvPr>
              <xdr:cNvSpPr txBox="1"/>
            </xdr:nvSpPr>
            <xdr:spPr>
              <a:xfrm>
                <a:off x="2200274" y="123825"/>
                <a:ext cx="8048626" cy="676275"/>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a:solidFill>
                      <a:sysClr val="windowText" lastClr="000000"/>
                    </a:solidFill>
                    <a:latin typeface="Arial Black" panose="020B0A04020102020204" pitchFamily="34" charset="0"/>
                  </a:rPr>
                  <a:t>                           </a:t>
                </a:r>
                <a:r>
                  <a:rPr lang="en-US" sz="2400">
                    <a:solidFill>
                      <a:sysClr val="windowText" lastClr="000000"/>
                    </a:solidFill>
                    <a:latin typeface="Arial Black" panose="020B0A04020102020204" pitchFamily="34" charset="0"/>
                  </a:rPr>
                  <a:t>ZOMATO RESTAURANT ANALYSIS DASHBOARD</a:t>
                </a:r>
              </a:p>
            </xdr:txBody>
          </xdr:sp>
          <xdr:pic>
            <xdr:nvPicPr>
              <xdr:cNvPr id="9" name="Picture 8">
                <a:extLst>
                  <a:ext uri="{FF2B5EF4-FFF2-40B4-BE49-F238E27FC236}">
                    <a16:creationId xmlns:a16="http://schemas.microsoft.com/office/drawing/2014/main" id="{09DC3D9A-A5DE-591C-3DD0-EF72BA3DA73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0862" y="4467104"/>
                <a:ext cx="1695450" cy="1171575"/>
              </a:xfrm>
              <a:prstGeom prst="rect">
                <a:avLst/>
              </a:prstGeom>
              <a:ln>
                <a:noFill/>
              </a:ln>
            </xdr:spPr>
          </xdr:pic>
          <xdr:pic>
            <xdr:nvPicPr>
              <xdr:cNvPr id="11" name="Picture 10">
                <a:extLst>
                  <a:ext uri="{FF2B5EF4-FFF2-40B4-BE49-F238E27FC236}">
                    <a16:creationId xmlns:a16="http://schemas.microsoft.com/office/drawing/2014/main" id="{210F1B53-1D46-E61E-062A-D5751F74383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71750" y="233008"/>
                <a:ext cx="647700" cy="465734"/>
              </a:xfrm>
              <a:prstGeom prst="rect">
                <a:avLst/>
              </a:prstGeom>
              <a:ln>
                <a:noFill/>
              </a:ln>
            </xdr:spPr>
          </xdr:pic>
          <xdr:graphicFrame macro="">
            <xdr:nvGraphicFramePr>
              <xdr:cNvPr id="14" name="Chart 13">
                <a:extLst>
                  <a:ext uri="{FF2B5EF4-FFF2-40B4-BE49-F238E27FC236}">
                    <a16:creationId xmlns:a16="http://schemas.microsoft.com/office/drawing/2014/main" id="{2AA56466-6A3A-4577-BD06-B605F09622DA}"/>
                  </a:ext>
                </a:extLst>
              </xdr:cNvPr>
              <xdr:cNvGraphicFramePr>
                <a:graphicFrameLocks/>
              </xdr:cNvGraphicFramePr>
            </xdr:nvGraphicFramePr>
            <xdr:xfrm>
              <a:off x="2238376" y="1981200"/>
              <a:ext cx="3895724" cy="160020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5" name="Rectangle: Rounded Corners 14">
                <a:extLst>
                  <a:ext uri="{FF2B5EF4-FFF2-40B4-BE49-F238E27FC236}">
                    <a16:creationId xmlns:a16="http://schemas.microsoft.com/office/drawing/2014/main" id="{279DBED0-973B-DB54-8B44-7E917DA51DCA}"/>
                  </a:ext>
                </a:extLst>
              </xdr:cNvPr>
              <xdr:cNvSpPr/>
            </xdr:nvSpPr>
            <xdr:spPr>
              <a:xfrm>
                <a:off x="2219325" y="944913"/>
                <a:ext cx="1857374" cy="691945"/>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Rounded Corners 16">
                <a:extLst>
                  <a:ext uri="{FF2B5EF4-FFF2-40B4-BE49-F238E27FC236}">
                    <a16:creationId xmlns:a16="http://schemas.microsoft.com/office/drawing/2014/main" id="{B23B6A3B-F953-4B5F-BE9B-DDF74526801F}"/>
                  </a:ext>
                </a:extLst>
              </xdr:cNvPr>
              <xdr:cNvSpPr/>
            </xdr:nvSpPr>
            <xdr:spPr>
              <a:xfrm>
                <a:off x="8258175" y="924952"/>
                <a:ext cx="1924049" cy="725212"/>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Rounded Corners 17">
                <a:extLst>
                  <a:ext uri="{FF2B5EF4-FFF2-40B4-BE49-F238E27FC236}">
                    <a16:creationId xmlns:a16="http://schemas.microsoft.com/office/drawing/2014/main" id="{26E60897-CA0D-424A-96FB-35759B25D519}"/>
                  </a:ext>
                </a:extLst>
              </xdr:cNvPr>
              <xdr:cNvSpPr/>
            </xdr:nvSpPr>
            <xdr:spPr>
              <a:xfrm>
                <a:off x="6172202" y="924952"/>
                <a:ext cx="1857373" cy="705252"/>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Rounded Corners 18">
                <a:extLst>
                  <a:ext uri="{FF2B5EF4-FFF2-40B4-BE49-F238E27FC236}">
                    <a16:creationId xmlns:a16="http://schemas.microsoft.com/office/drawing/2014/main" id="{1B259EBB-4AF4-42FE-BCC9-9BB29B3F1597}"/>
                  </a:ext>
                </a:extLst>
              </xdr:cNvPr>
              <xdr:cNvSpPr/>
            </xdr:nvSpPr>
            <xdr:spPr>
              <a:xfrm>
                <a:off x="4219575" y="931606"/>
                <a:ext cx="1809749" cy="698598"/>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TextBox 19">
                <a:extLst>
                  <a:ext uri="{FF2B5EF4-FFF2-40B4-BE49-F238E27FC236}">
                    <a16:creationId xmlns:a16="http://schemas.microsoft.com/office/drawing/2014/main" id="{720BEA32-E3CE-E959-BEAE-EDEDA4DA819C}"/>
                  </a:ext>
                </a:extLst>
              </xdr:cNvPr>
              <xdr:cNvSpPr txBox="1"/>
            </xdr:nvSpPr>
            <xdr:spPr>
              <a:xfrm>
                <a:off x="2962274" y="942974"/>
                <a:ext cx="981076" cy="400051"/>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a:latin typeface="Arial Black" panose="020B0A04020102020204" pitchFamily="34" charset="0"/>
                  </a:rPr>
                  <a:t>TOTAL RESTAURANT</a:t>
                </a:r>
              </a:p>
            </xdr:txBody>
          </xdr:sp>
          <xdr:sp macro="" textlink="'Zomato-data-'!I5">
            <xdr:nvSpPr>
              <xdr:cNvPr id="23" name="TextBox 22">
                <a:extLst>
                  <a:ext uri="{FF2B5EF4-FFF2-40B4-BE49-F238E27FC236}">
                    <a16:creationId xmlns:a16="http://schemas.microsoft.com/office/drawing/2014/main" id="{32E44E71-C18E-4A81-13D3-77B8A5F774E4}"/>
                  </a:ext>
                </a:extLst>
              </xdr:cNvPr>
              <xdr:cNvSpPr txBox="1"/>
            </xdr:nvSpPr>
            <xdr:spPr>
              <a:xfrm>
                <a:off x="2933700" y="1333500"/>
                <a:ext cx="990600" cy="28575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FA7B9FB-7E76-40E3-92C1-D8C3F0E0FF14}" type="TxLink">
                  <a:rPr lang="en-US" sz="1400" b="0" i="0" u="none" strike="noStrike">
                    <a:solidFill>
                      <a:srgbClr val="000000"/>
                    </a:solidFill>
                    <a:latin typeface="Arial Black" panose="020B0A04020102020204" pitchFamily="34" charset="0"/>
                    <a:cs typeface="Calibri"/>
                  </a:rPr>
                  <a:pPr algn="ctr"/>
                  <a:t>148</a:t>
                </a:fld>
                <a:endParaRPr lang="en-US" sz="1400">
                  <a:latin typeface="Arial Black" panose="020B0A04020102020204" pitchFamily="34" charset="0"/>
                </a:endParaRPr>
              </a:p>
            </xdr:txBody>
          </xdr:sp>
          <xdr:pic>
            <xdr:nvPicPr>
              <xdr:cNvPr id="25" name="Picture 24">
                <a:extLst>
                  <a:ext uri="{FF2B5EF4-FFF2-40B4-BE49-F238E27FC236}">
                    <a16:creationId xmlns:a16="http://schemas.microsoft.com/office/drawing/2014/main" id="{40923E6D-7E7E-FBB0-5827-18075F34EA0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391525" y="998139"/>
                <a:ext cx="514349" cy="572185"/>
              </a:xfrm>
              <a:prstGeom prst="rect">
                <a:avLst/>
              </a:prstGeom>
              <a:ln>
                <a:noFill/>
              </a:ln>
            </xdr:spPr>
          </xdr:pic>
          <xdr:pic>
            <xdr:nvPicPr>
              <xdr:cNvPr id="29" name="Picture 28">
                <a:extLst>
                  <a:ext uri="{FF2B5EF4-FFF2-40B4-BE49-F238E27FC236}">
                    <a16:creationId xmlns:a16="http://schemas.microsoft.com/office/drawing/2014/main" id="{B23AD789-26CB-4A18-AD30-EB52FB5BD36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266951" y="1009651"/>
                <a:ext cx="647700" cy="593941"/>
              </a:xfrm>
              <a:prstGeom prst="rect">
                <a:avLst/>
              </a:prstGeom>
              <a:ln>
                <a:noFill/>
              </a:ln>
            </xdr:spPr>
          </xdr:pic>
          <xdr:sp macro="" textlink="">
            <xdr:nvSpPr>
              <xdr:cNvPr id="30" name="TextBox 29">
                <a:extLst>
                  <a:ext uri="{FF2B5EF4-FFF2-40B4-BE49-F238E27FC236}">
                    <a16:creationId xmlns:a16="http://schemas.microsoft.com/office/drawing/2014/main" id="{D67D85ED-FCF6-1943-CB49-E7813A545E62}"/>
                  </a:ext>
                </a:extLst>
              </xdr:cNvPr>
              <xdr:cNvSpPr txBox="1"/>
            </xdr:nvSpPr>
            <xdr:spPr>
              <a:xfrm>
                <a:off x="4619625" y="933449"/>
                <a:ext cx="1276349" cy="304801"/>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latin typeface="Arial Black" panose="020B0A04020102020204" pitchFamily="34" charset="0"/>
                  </a:rPr>
                  <a:t>TOTAL VOTES</a:t>
                </a:r>
              </a:p>
            </xdr:txBody>
          </xdr:sp>
          <xdr:sp macro="" textlink="'Zomato-data-'!I7">
            <xdr:nvSpPr>
              <xdr:cNvPr id="31" name="TextBox 30">
                <a:extLst>
                  <a:ext uri="{FF2B5EF4-FFF2-40B4-BE49-F238E27FC236}">
                    <a16:creationId xmlns:a16="http://schemas.microsoft.com/office/drawing/2014/main" id="{901E2715-470B-B61E-2837-BBCDDDDF6C06}"/>
                  </a:ext>
                </a:extLst>
              </xdr:cNvPr>
              <xdr:cNvSpPr txBox="1"/>
            </xdr:nvSpPr>
            <xdr:spPr>
              <a:xfrm>
                <a:off x="4743450" y="1266825"/>
                <a:ext cx="1047750" cy="30480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08F5B8-1D2C-4BFB-BEC1-50104BC2F0AD}" type="TxLink">
                  <a:rPr lang="en-US" sz="1100" b="0" i="0" u="none" strike="noStrike">
                    <a:solidFill>
                      <a:srgbClr val="000000"/>
                    </a:solidFill>
                    <a:latin typeface="Arial Black" panose="020B0A04020102020204" pitchFamily="34" charset="0"/>
                    <a:cs typeface="Calibri"/>
                  </a:rPr>
                  <a:pPr algn="ctr"/>
                  <a:t>39192</a:t>
                </a:fld>
                <a:endParaRPr lang="en-US" sz="1100">
                  <a:latin typeface="Arial Black" panose="020B0A04020102020204" pitchFamily="34" charset="0"/>
                </a:endParaRPr>
              </a:p>
            </xdr:txBody>
          </xdr:sp>
          <xdr:sp macro="" textlink="">
            <xdr:nvSpPr>
              <xdr:cNvPr id="2" name="TextBox 1">
                <a:extLst>
                  <a:ext uri="{FF2B5EF4-FFF2-40B4-BE49-F238E27FC236}">
                    <a16:creationId xmlns:a16="http://schemas.microsoft.com/office/drawing/2014/main" id="{D0B5A69F-57CF-47F8-6693-EEED29A8FA0C}"/>
                  </a:ext>
                </a:extLst>
              </xdr:cNvPr>
              <xdr:cNvSpPr txBox="1"/>
            </xdr:nvSpPr>
            <xdr:spPr>
              <a:xfrm>
                <a:off x="6724650" y="952500"/>
                <a:ext cx="1171574" cy="30480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ysClr val="windowText" lastClr="000000"/>
                    </a:solidFill>
                    <a:latin typeface="Arial Black" panose="020B0A04020102020204" pitchFamily="34" charset="0"/>
                  </a:rPr>
                  <a:t>AVG RATING</a:t>
                </a:r>
              </a:p>
            </xdr:txBody>
          </xdr:sp>
          <xdr:sp macro="" textlink="">
            <xdr:nvSpPr>
              <xdr:cNvPr id="5" name="TextBox 4">
                <a:extLst>
                  <a:ext uri="{FF2B5EF4-FFF2-40B4-BE49-F238E27FC236}">
                    <a16:creationId xmlns:a16="http://schemas.microsoft.com/office/drawing/2014/main" id="{8EBB2793-08D6-81BD-3B09-C0294B2B3D9E}"/>
                  </a:ext>
                </a:extLst>
              </xdr:cNvPr>
              <xdr:cNvSpPr txBox="1"/>
            </xdr:nvSpPr>
            <xdr:spPr>
              <a:xfrm>
                <a:off x="8886824" y="962025"/>
                <a:ext cx="1076325" cy="266700"/>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rial Black" panose="020B0A04020102020204" pitchFamily="34" charset="0"/>
                  </a:rPr>
                  <a:t>AVG COST</a:t>
                </a:r>
              </a:p>
            </xdr:txBody>
          </xdr:sp>
          <xdr:sp macro="" textlink="'Zomato-data-'!I9">
            <xdr:nvSpPr>
              <xdr:cNvPr id="8" name="TextBox 7">
                <a:extLst>
                  <a:ext uri="{FF2B5EF4-FFF2-40B4-BE49-F238E27FC236}">
                    <a16:creationId xmlns:a16="http://schemas.microsoft.com/office/drawing/2014/main" id="{2DCBBEE9-D56E-1C66-F8B1-96BD4221196A}"/>
                  </a:ext>
                </a:extLst>
              </xdr:cNvPr>
              <xdr:cNvSpPr txBox="1"/>
            </xdr:nvSpPr>
            <xdr:spPr>
              <a:xfrm>
                <a:off x="7038975" y="1295400"/>
                <a:ext cx="819150" cy="238125"/>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49E080-6962-4E2F-BF60-5EA7FDEC64F4}" type="TxLink">
                  <a:rPr lang="en-US" sz="1200" b="0" i="0" u="none" strike="noStrike">
                    <a:solidFill>
                      <a:srgbClr val="000000"/>
                    </a:solidFill>
                    <a:latin typeface="Arial Black" panose="020B0A04020102020204" pitchFamily="34" charset="0"/>
                    <a:cs typeface="Calibri"/>
                  </a:rPr>
                  <a:pPr/>
                  <a:t>3.63</a:t>
                </a:fld>
                <a:endParaRPr lang="en-US" sz="1200">
                  <a:latin typeface="Arial Black" panose="020B0A04020102020204" pitchFamily="34" charset="0"/>
                </a:endParaRPr>
              </a:p>
            </xdr:txBody>
          </xdr:sp>
          <xdr:sp macro="" textlink="">
            <xdr:nvSpPr>
              <xdr:cNvPr id="10" name="TextBox 9">
                <a:extLst>
                  <a:ext uri="{FF2B5EF4-FFF2-40B4-BE49-F238E27FC236}">
                    <a16:creationId xmlns:a16="http://schemas.microsoft.com/office/drawing/2014/main" id="{CF9AB7AB-0783-A463-7F77-8594D1296F81}"/>
                  </a:ext>
                </a:extLst>
              </xdr:cNvPr>
              <xdr:cNvSpPr txBox="1"/>
            </xdr:nvSpPr>
            <xdr:spPr>
              <a:xfrm>
                <a:off x="8982075" y="1276350"/>
                <a:ext cx="457200" cy="295275"/>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sp macro="" textlink="'Zomato-data-'!I11">
            <xdr:nvSpPr>
              <xdr:cNvPr id="12" name="TextBox 11">
                <a:extLst>
                  <a:ext uri="{FF2B5EF4-FFF2-40B4-BE49-F238E27FC236}">
                    <a16:creationId xmlns:a16="http://schemas.microsoft.com/office/drawing/2014/main" id="{F165AD9E-068E-D2F1-F25A-1E767FF34D96}"/>
                  </a:ext>
                </a:extLst>
              </xdr:cNvPr>
              <xdr:cNvSpPr txBox="1"/>
            </xdr:nvSpPr>
            <xdr:spPr>
              <a:xfrm>
                <a:off x="9058275" y="1323975"/>
                <a:ext cx="733424" cy="276225"/>
              </a:xfrm>
              <a:prstGeom prst="rect">
                <a:avLst/>
              </a:prstGeom>
              <a:solidFill>
                <a:srgbClr val="FF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ABB2BB-6C8A-470D-92DD-78004768EA48}" type="TxLink">
                  <a:rPr lang="en-US" sz="1100" b="0" i="0" u="none" strike="noStrike">
                    <a:solidFill>
                      <a:srgbClr val="000000"/>
                    </a:solidFill>
                    <a:latin typeface="Arial Black" panose="020B0A04020102020204" pitchFamily="34" charset="0"/>
                    <a:cs typeface="Calibri"/>
                  </a:rPr>
                  <a:pPr/>
                  <a:t>418.24</a:t>
                </a:fld>
                <a:endParaRPr lang="en-US" sz="1100">
                  <a:latin typeface="Arial Black" panose="020B0A04020102020204" pitchFamily="34" charset="0"/>
                </a:endParaRPr>
              </a:p>
            </xdr:txBody>
          </xdr:sp>
          <xdr:pic>
            <xdr:nvPicPr>
              <xdr:cNvPr id="16" name="Picture 15">
                <a:extLst>
                  <a:ext uri="{FF2B5EF4-FFF2-40B4-BE49-F238E27FC236}">
                    <a16:creationId xmlns:a16="http://schemas.microsoft.com/office/drawing/2014/main" id="{C332269D-C0EE-B9BA-0382-E3F42FA6C57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rot="10800000" flipV="1">
                <a:off x="4295771" y="991485"/>
                <a:ext cx="438154" cy="578840"/>
              </a:xfrm>
              <a:prstGeom prst="rect">
                <a:avLst/>
              </a:prstGeom>
              <a:ln>
                <a:noFill/>
              </a:ln>
            </xdr:spPr>
          </xdr:pic>
          <xdr:pic>
            <xdr:nvPicPr>
              <xdr:cNvPr id="22" name="Picture 21">
                <a:extLst>
                  <a:ext uri="{FF2B5EF4-FFF2-40B4-BE49-F238E27FC236}">
                    <a16:creationId xmlns:a16="http://schemas.microsoft.com/office/drawing/2014/main" id="{D94A4791-F24C-5DD7-827B-655FB03A61B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210299" y="1057276"/>
                <a:ext cx="561295" cy="519702"/>
              </a:xfrm>
              <a:prstGeom prst="rect">
                <a:avLst/>
              </a:prstGeom>
              <a:ln>
                <a:noFill/>
              </a:ln>
            </xdr:spPr>
          </xdr:pic>
        </xdr:grpSp>
        <xdr:graphicFrame macro="">
          <xdr:nvGraphicFramePr>
            <xdr:cNvPr id="28" name="Chart 27">
              <a:extLst>
                <a:ext uri="{FF2B5EF4-FFF2-40B4-BE49-F238E27FC236}">
                  <a16:creationId xmlns:a16="http://schemas.microsoft.com/office/drawing/2014/main" id="{EC25D149-F2CF-4D80-86FD-8586437743C3}"/>
                </a:ext>
              </a:extLst>
            </xdr:cNvPr>
            <xdr:cNvGraphicFramePr>
              <a:graphicFrameLocks/>
            </xdr:cNvGraphicFramePr>
          </xdr:nvGraphicFramePr>
          <xdr:xfrm>
            <a:off x="6424227" y="5866700"/>
            <a:ext cx="3933825" cy="1914524"/>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2" name="Chart 31">
              <a:extLst>
                <a:ext uri="{FF2B5EF4-FFF2-40B4-BE49-F238E27FC236}">
                  <a16:creationId xmlns:a16="http://schemas.microsoft.com/office/drawing/2014/main" id="{97F108FC-B6E0-4BDE-B032-29F60B4BBAD5}"/>
                </a:ext>
              </a:extLst>
            </xdr:cNvPr>
            <xdr:cNvGraphicFramePr>
              <a:graphicFrameLocks/>
            </xdr:cNvGraphicFramePr>
          </xdr:nvGraphicFramePr>
          <xdr:xfrm>
            <a:off x="6377373" y="2934438"/>
            <a:ext cx="3705225" cy="2200275"/>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3" name="Chart 32">
              <a:extLst>
                <a:ext uri="{FF2B5EF4-FFF2-40B4-BE49-F238E27FC236}">
                  <a16:creationId xmlns:a16="http://schemas.microsoft.com/office/drawing/2014/main" id="{F9458228-0701-4781-A00A-EDFFA8C15468}"/>
                </a:ext>
              </a:extLst>
            </xdr:cNvPr>
            <xdr:cNvGraphicFramePr>
              <a:graphicFrameLocks/>
            </xdr:cNvGraphicFramePr>
          </xdr:nvGraphicFramePr>
          <xdr:xfrm>
            <a:off x="2419349" y="5629276"/>
            <a:ext cx="3848101" cy="1905000"/>
          </xdr:xfrm>
          <a:graphic>
            <a:graphicData uri="http://schemas.openxmlformats.org/drawingml/2006/chart">
              <c:chart xmlns:c="http://schemas.openxmlformats.org/drawingml/2006/chart" xmlns:r="http://schemas.openxmlformats.org/officeDocument/2006/relationships" r:id="rId11"/>
            </a:graphicData>
          </a:graphic>
        </xdr:graphicFrame>
      </xdr:grpSp>
      <mc:AlternateContent xmlns:mc="http://schemas.openxmlformats.org/markup-compatibility/2006" xmlns:a14="http://schemas.microsoft.com/office/drawing/2010/main">
        <mc:Choice Requires="a14">
          <xdr:graphicFrame macro="">
            <xdr:nvGraphicFramePr>
              <xdr:cNvPr id="35" name="listed_in(type) 1">
                <a:extLst>
                  <a:ext uri="{FF2B5EF4-FFF2-40B4-BE49-F238E27FC236}">
                    <a16:creationId xmlns:a16="http://schemas.microsoft.com/office/drawing/2014/main" id="{94D3111D-F114-4554-B1C7-78FA7594E098}"/>
                  </a:ext>
                </a:extLst>
              </xdr:cNvPr>
              <xdr:cNvGraphicFramePr/>
            </xdr:nvGraphicFramePr>
            <xdr:xfrm>
              <a:off x="266700" y="2590800"/>
              <a:ext cx="1828800" cy="1162050"/>
            </xdr:xfrm>
            <a:graphic>
              <a:graphicData uri="http://schemas.microsoft.com/office/drawing/2010/slicer">
                <sle:slicer xmlns:sle="http://schemas.microsoft.com/office/drawing/2010/slicer" name="listed_in(type) 1"/>
              </a:graphicData>
            </a:graphic>
          </xdr:graphicFrame>
        </mc:Choice>
        <mc:Fallback xmlns="">
          <xdr:sp macro="" textlink="">
            <xdr:nvSpPr>
              <xdr:cNvPr id="0" name=""/>
              <xdr:cNvSpPr>
                <a:spLocks noTextEdit="1"/>
              </xdr:cNvSpPr>
            </xdr:nvSpPr>
            <xdr:spPr>
              <a:xfrm>
                <a:off x="395625" y="2612707"/>
                <a:ext cx="2416611" cy="1179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6" name="book_table 1">
                <a:extLst>
                  <a:ext uri="{FF2B5EF4-FFF2-40B4-BE49-F238E27FC236}">
                    <a16:creationId xmlns:a16="http://schemas.microsoft.com/office/drawing/2014/main" id="{57AEF223-1CB6-4D95-A682-F34C0058813F}"/>
                  </a:ext>
                </a:extLst>
              </xdr:cNvPr>
              <xdr:cNvGraphicFramePr/>
            </xdr:nvGraphicFramePr>
            <xdr:xfrm>
              <a:off x="247650" y="5153025"/>
              <a:ext cx="1828800" cy="952500"/>
            </xdr:xfrm>
            <a:graphic>
              <a:graphicData uri="http://schemas.microsoft.com/office/drawing/2010/slicer">
                <sle:slicer xmlns:sle="http://schemas.microsoft.com/office/drawing/2010/slicer" name="book_table 1"/>
              </a:graphicData>
            </a:graphic>
          </xdr:graphicFrame>
        </mc:Choice>
        <mc:Fallback xmlns="">
          <xdr:sp macro="" textlink="">
            <xdr:nvSpPr>
              <xdr:cNvPr id="0" name=""/>
              <xdr:cNvSpPr>
                <a:spLocks noTextEdit="1"/>
              </xdr:cNvSpPr>
            </xdr:nvSpPr>
            <xdr:spPr>
              <a:xfrm>
                <a:off x="370452" y="5214455"/>
                <a:ext cx="2416611" cy="967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7" name="votes 1">
                <a:extLst>
                  <a:ext uri="{FF2B5EF4-FFF2-40B4-BE49-F238E27FC236}">
                    <a16:creationId xmlns:a16="http://schemas.microsoft.com/office/drawing/2014/main" id="{D0C00F69-B58A-49CC-8703-57E08A61E624}"/>
                  </a:ext>
                </a:extLst>
              </xdr:cNvPr>
              <xdr:cNvGraphicFramePr/>
            </xdr:nvGraphicFramePr>
            <xdr:xfrm>
              <a:off x="266700" y="3857625"/>
              <a:ext cx="1828800" cy="1200150"/>
            </xdr:xfrm>
            <a:graphic>
              <a:graphicData uri="http://schemas.microsoft.com/office/drawing/2010/slicer">
                <sle:slicer xmlns:sle="http://schemas.microsoft.com/office/drawing/2010/slicer" name="votes 1"/>
              </a:graphicData>
            </a:graphic>
          </xdr:graphicFrame>
        </mc:Choice>
        <mc:Fallback xmlns="">
          <xdr:sp macro="" textlink="">
            <xdr:nvSpPr>
              <xdr:cNvPr id="0" name=""/>
              <xdr:cNvSpPr>
                <a:spLocks noTextEdit="1"/>
              </xdr:cNvSpPr>
            </xdr:nvSpPr>
            <xdr:spPr>
              <a:xfrm>
                <a:off x="395625" y="3899074"/>
                <a:ext cx="2416611" cy="1218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504825</xdr:colOff>
      <xdr:row>8</xdr:row>
      <xdr:rowOff>128587</xdr:rowOff>
    </xdr:from>
    <xdr:to>
      <xdr:col>10</xdr:col>
      <xdr:colOff>200025</xdr:colOff>
      <xdr:row>23</xdr:row>
      <xdr:rowOff>14287</xdr:rowOff>
    </xdr:to>
    <xdr:graphicFrame macro="">
      <xdr:nvGraphicFramePr>
        <xdr:cNvPr id="2" name="Chart 1">
          <a:extLst>
            <a:ext uri="{FF2B5EF4-FFF2-40B4-BE49-F238E27FC236}">
              <a16:creationId xmlns:a16="http://schemas.microsoft.com/office/drawing/2014/main" id="{2BB410C4-C115-37F6-D0C9-6AD15C81F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S" refreshedDate="46227.546604282405" createdVersion="8" refreshedVersion="8" minRefreshableVersion="3" recordCount="148" xr:uid="{82516B64-2C0C-4DB0-B0F4-84929ED31C1F}">
  <cacheSource type="worksheet">
    <worksheetSource name="Zomato_data"/>
  </cacheSource>
  <cacheFields count="7">
    <cacheField name="name" numFmtId="0">
      <sharedItems count="145">
        <s v="Jalsa"/>
        <s v="Spice Elephant"/>
        <s v="San Churro Cafe"/>
        <s v="Addhuri Udupi Bhojana"/>
        <s v="Grand Village"/>
        <s v="Timepass Dinner"/>
        <s v="Rosewood International Hotel - Bar &amp; Restaurant"/>
        <s v="Onesta"/>
        <s v="Penthouse Cafe"/>
        <s v="Smacznego"/>
        <s v="Village Café"/>
        <s v="Cafe Shuffle"/>
        <s v="The Coffee Shack"/>
        <s v="Caf-Eleven"/>
        <s v="Cafe Vivacity"/>
        <s v="Catch-up-ino"/>
        <s v="Kirthi's Biryani"/>
        <s v="T3H Cafe"/>
        <s v="360 Atoms Restaurant And Cafe"/>
        <s v="The Vintage Cafe"/>
        <s v="Woodee Pizza"/>
        <s v="Cafe Coffee Day"/>
        <s v="My Tea House"/>
        <s v="Hide Out Cafe"/>
        <s v="CAFE NOVA"/>
        <s v="Coffee Tindi"/>
        <s v="Sea Green Cafe"/>
        <s v="Cuppa"/>
        <s v="Srinathji's Cafe"/>
        <s v="Redberrys"/>
        <s v="Foodiction"/>
        <s v="Sweet Truth"/>
        <s v="Ovenstory Pizza"/>
        <s v="Faasos"/>
        <s v="Behrouz Biryani"/>
        <s v="Fast And Fresh"/>
        <s v="Szechuan Dragon"/>
        <s v="Empire Restaurant"/>
        <s v="Maruthi Davangere Benne Dosa"/>
        <s v="Chaatimes"/>
        <s v="Havyaka Mess"/>
        <s v="McDonald's"/>
        <s v="Domino's Pizza"/>
        <s v="Hotboxit"/>
        <s v="Kitchen Garden"/>
        <s v="Recipe"/>
        <s v="Beijing Bites"/>
        <s v="Tasty Bytes"/>
        <s v="Petoo"/>
        <s v="Shree Cool Point"/>
        <s v="Corner House Ice Cream"/>
        <s v="Biryanis And More"/>
        <s v="Roving Feast"/>
        <s v="FreshMenu"/>
        <s v="Banashankari Donne Biriyani"/>
        <s v="Wamama"/>
        <s v="Five Star Chicken"/>
        <s v="XO Belgian Waffle"/>
        <s v="Peppy Peppers"/>
        <s v="Goa 0 Km"/>
        <s v="Chinese Kitchen"/>
        <s v="Jeet Restaurant"/>
        <s v="Cake of the Day"/>
        <s v="Kabab Magic"/>
        <s v="Namma Brahmin's Idli"/>
        <s v="Gustoes Beer House"/>
        <s v="Sugar Rush"/>
        <s v="Burger King"/>
        <s v="The Good Bowl"/>
        <s v="The Biryani Cafe"/>
        <s v="Spicy Tandoor"/>
        <s v="LSD Cafe"/>
        <s v="Rolls On Wheels"/>
        <s v="Om Sri Vinayaka Chats"/>
        <s v="Sri Guru Kottureshwara Davangere Benne Dosa"/>
        <s v="Devanna Dum Biriyani Centre"/>
        <s v="Kolbeh"/>
        <s v="Upahar Sagar"/>
        <s v="Kadalu Sea Food Restaurant"/>
        <s v="Frozen Bottle"/>
        <s v="Parimala Sweets"/>
        <s v="Vaishali Deluxe"/>
        <s v="Chill Out"/>
        <s v="The Big O Bakes"/>
        <s v="Meghana Foods"/>
        <s v="Krishna Sagar"/>
        <s v="Dessert Rose"/>
        <s v="Chickpet Donne Biryani House"/>
        <s v="Me And My Cake"/>
        <s v="Sunsadm"/>
        <s v="Annapooraneshwari Mess"/>
        <s v="Thanco's Natural Ice Creams"/>
        <s v="Nandhini Deluxe"/>
        <s v="Vi Ra's Bar and Restaurant"/>
        <s v="Kaggis"/>
        <s v="Ayda Persian Kitchen"/>
        <s v="Chatar Patar"/>
        <s v="Polar Bear"/>
        <s v="Kidambi's Kitchen"/>
        <s v="Mane Thindi"/>
        <s v="Kotian Karavali Restaurant"/>
        <s v="Floured-Baked With Love"/>
        <s v="Cakes &amp; Slices"/>
        <s v="Spice 9"/>
        <s v="Coffee Shopee"/>
        <s v="Naveen Kabab &amp; Biriyani Mane"/>
        <s v="Katriguppe Donne Biryani"/>
        <s v="Hari Super Sandwich"/>
        <s v="Atithi Point Ande Ka Funda"/>
        <s v="Just Bake"/>
        <s v="Dharwad Line Bazaar Mishra Pedha"/>
        <s v="Cake Bite"/>
        <s v="Aarush's Food Plaza"/>
        <s v="Wood Stove"/>
        <s v="Kulfi &amp; More"/>
        <s v="Kannadigas Karavali"/>
        <s v="K27 - The Pub"/>
        <s v="Bengaluru Coffee House"/>
        <s v="New Mangalore Lunch Home"/>
        <s v="Coffee Bytes"/>
        <s v="Parjanya Chat Zone"/>
        <s v="Kwality Wall's Swirl's Happiness Station"/>
        <s v="Soms Kitchen &amp; Bakes"/>
        <s v="Banashankari Nati Style"/>
        <s v="Ruchi Maayaka"/>
        <s v="Mohitesh Hut Roll"/>
        <s v="Sri Basaveshwar Jolada Rotti Oota"/>
        <s v="Roll Magic Fast Food"/>
        <s v="Foodlieious Multi Cuisine"/>
        <s v="Thanishka Nati And Karavali Style"/>
        <s v="Swathi Cool Point"/>
        <s v="Kaumudis Juoice"/>
        <s v="Amma - Manae"/>
        <s v="Sri Sai Tiffannies"/>
        <s v="Hotel Andhra Speices"/>
        <s v="Sri Murari Family Restaurant"/>
        <s v="Aramane Donne Biriyani"/>
        <s v="Darkolates"/>
        <s v="Swaada Healthy Kitchen"/>
        <s v="Gawdaru Mane Beriyani"/>
        <s v="Melting Melodies"/>
        <s v="New Indraprasta"/>
        <s v="Anna Kuteera"/>
        <s v="Darbar"/>
        <s v="Vijayalakshmi"/>
      </sharedItems>
    </cacheField>
    <cacheField name="online_order" numFmtId="0">
      <sharedItems count="2">
        <s v="Yes"/>
        <s v="No"/>
      </sharedItems>
    </cacheField>
    <cacheField name="book_table" numFmtId="0">
      <sharedItems count="2">
        <s v="Yes"/>
        <s v="No"/>
      </sharedItems>
    </cacheField>
    <cacheField name="rate" numFmtId="0">
      <sharedItems containsSemiMixedTypes="0" containsString="0" containsNumber="1" minValue="2.6" maxValue="4.5999999999999996" count="19">
        <n v="4.0999999999999996"/>
        <n v="3.8"/>
        <n v="3.7"/>
        <n v="3.6"/>
        <n v="4.5999999999999996"/>
        <n v="4"/>
        <n v="4.2"/>
        <n v="3.9"/>
        <n v="3.1"/>
        <n v="3"/>
        <n v="3.2"/>
        <n v="3.3"/>
        <n v="2.8"/>
        <n v="4.4000000000000004"/>
        <n v="4.3"/>
        <n v="2.9"/>
        <n v="3.5"/>
        <n v="2.6"/>
        <n v="3.4"/>
      </sharedItems>
    </cacheField>
    <cacheField name="votes" numFmtId="0">
      <sharedItems containsSemiMixedTypes="0" containsString="0" containsNumber="1" containsInteger="1" minValue="0" maxValue="4884" count="90">
        <n v="775"/>
        <n v="787"/>
        <n v="918"/>
        <n v="88"/>
        <n v="166"/>
        <n v="286"/>
        <n v="8"/>
        <n v="2556"/>
        <n v="324"/>
        <n v="504"/>
        <n v="402"/>
        <n v="150"/>
        <n v="164"/>
        <n v="424"/>
        <n v="90"/>
        <n v="133"/>
        <n v="144"/>
        <n v="93"/>
        <n v="13"/>
        <n v="62"/>
        <n v="180"/>
        <n v="28"/>
        <n v="31"/>
        <n v="11"/>
        <n v="75"/>
        <n v="4"/>
        <n v="23"/>
        <n v="148"/>
        <n v="219"/>
        <n v="506"/>
        <n v="35"/>
        <n v="172"/>
        <n v="415"/>
        <n v="230"/>
        <n v="91"/>
        <n v="1647"/>
        <n v="4884"/>
        <n v="17"/>
        <n v="540"/>
        <n v="36"/>
        <n v="244"/>
        <n v="804"/>
        <n v="679"/>
        <n v="245"/>
        <n v="21"/>
        <n v="345"/>
        <n v="618"/>
        <n v="1047"/>
        <n v="627"/>
        <n v="104"/>
        <n v="354"/>
        <n v="55"/>
        <n v="163"/>
        <n v="58"/>
        <n v="808"/>
        <n v="78"/>
        <n v="1720"/>
        <n v="34"/>
        <n v="868"/>
        <n v="39"/>
        <n v="71"/>
        <n v="6"/>
        <n v="520"/>
        <n v="0"/>
        <n v="84"/>
        <n v="299"/>
        <n v="558"/>
        <n v="22"/>
        <n v="153"/>
        <n v="146"/>
        <n v="14"/>
        <n v="42"/>
        <n v="66"/>
        <n v="4401"/>
        <n v="7"/>
        <n v="9"/>
        <n v="283"/>
        <n v="64"/>
        <n v="65"/>
        <n v="52"/>
        <n v="130"/>
        <n v="10"/>
        <n v="45"/>
        <n v="29"/>
        <n v="30"/>
        <n v="201"/>
        <n v="25"/>
        <n v="771"/>
        <n v="98"/>
        <n v="47"/>
      </sharedItems>
    </cacheField>
    <cacheField name="approx_cost(for two people)" numFmtId="0">
      <sharedItems containsSemiMixedTypes="0" containsString="0" containsNumber="1" containsInteger="1" minValue="100" maxValue="950"/>
    </cacheField>
    <cacheField name="listed_in(type)" numFmtId="0">
      <sharedItems count="4">
        <s v="Buffet"/>
        <s v="Cafes"/>
        <s v="other"/>
        <s v="Dining"/>
      </sharedItems>
    </cacheField>
  </cacheFields>
  <extLst>
    <ext xmlns:x14="http://schemas.microsoft.com/office/spreadsheetml/2009/9/main" uri="{725AE2AE-9491-48be-B2B4-4EB974FC3084}">
      <x14:pivotCacheDefinition pivotCacheId="1139029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x v="0"/>
    <x v="0"/>
    <x v="0"/>
    <x v="0"/>
    <x v="0"/>
    <n v="800"/>
    <x v="0"/>
  </r>
  <r>
    <x v="1"/>
    <x v="0"/>
    <x v="1"/>
    <x v="0"/>
    <x v="1"/>
    <n v="800"/>
    <x v="0"/>
  </r>
  <r>
    <x v="2"/>
    <x v="0"/>
    <x v="1"/>
    <x v="1"/>
    <x v="2"/>
    <n v="800"/>
    <x v="0"/>
  </r>
  <r>
    <x v="3"/>
    <x v="1"/>
    <x v="1"/>
    <x v="2"/>
    <x v="3"/>
    <n v="300"/>
    <x v="0"/>
  </r>
  <r>
    <x v="4"/>
    <x v="1"/>
    <x v="1"/>
    <x v="1"/>
    <x v="4"/>
    <n v="600"/>
    <x v="0"/>
  </r>
  <r>
    <x v="5"/>
    <x v="0"/>
    <x v="1"/>
    <x v="1"/>
    <x v="5"/>
    <n v="600"/>
    <x v="0"/>
  </r>
  <r>
    <x v="6"/>
    <x v="1"/>
    <x v="1"/>
    <x v="3"/>
    <x v="6"/>
    <n v="800"/>
    <x v="0"/>
  </r>
  <r>
    <x v="7"/>
    <x v="0"/>
    <x v="0"/>
    <x v="4"/>
    <x v="7"/>
    <n v="600"/>
    <x v="1"/>
  </r>
  <r>
    <x v="8"/>
    <x v="0"/>
    <x v="1"/>
    <x v="5"/>
    <x v="8"/>
    <n v="700"/>
    <x v="2"/>
  </r>
  <r>
    <x v="9"/>
    <x v="0"/>
    <x v="1"/>
    <x v="6"/>
    <x v="9"/>
    <n v="550"/>
    <x v="1"/>
  </r>
  <r>
    <x v="10"/>
    <x v="0"/>
    <x v="1"/>
    <x v="0"/>
    <x v="10"/>
    <n v="500"/>
    <x v="1"/>
  </r>
  <r>
    <x v="11"/>
    <x v="0"/>
    <x v="0"/>
    <x v="6"/>
    <x v="11"/>
    <n v="600"/>
    <x v="1"/>
  </r>
  <r>
    <x v="12"/>
    <x v="0"/>
    <x v="0"/>
    <x v="6"/>
    <x v="12"/>
    <n v="500"/>
    <x v="1"/>
  </r>
  <r>
    <x v="13"/>
    <x v="1"/>
    <x v="1"/>
    <x v="5"/>
    <x v="13"/>
    <n v="450"/>
    <x v="1"/>
  </r>
  <r>
    <x v="2"/>
    <x v="0"/>
    <x v="1"/>
    <x v="1"/>
    <x v="2"/>
    <n v="800"/>
    <x v="1"/>
  </r>
  <r>
    <x v="14"/>
    <x v="0"/>
    <x v="1"/>
    <x v="1"/>
    <x v="14"/>
    <n v="650"/>
    <x v="1"/>
  </r>
  <r>
    <x v="15"/>
    <x v="0"/>
    <x v="1"/>
    <x v="7"/>
    <x v="15"/>
    <n v="800"/>
    <x v="1"/>
  </r>
  <r>
    <x v="16"/>
    <x v="0"/>
    <x v="1"/>
    <x v="1"/>
    <x v="16"/>
    <n v="700"/>
    <x v="1"/>
  </r>
  <r>
    <x v="17"/>
    <x v="1"/>
    <x v="1"/>
    <x v="7"/>
    <x v="17"/>
    <n v="300"/>
    <x v="1"/>
  </r>
  <r>
    <x v="18"/>
    <x v="0"/>
    <x v="1"/>
    <x v="8"/>
    <x v="18"/>
    <n v="400"/>
    <x v="1"/>
  </r>
  <r>
    <x v="19"/>
    <x v="0"/>
    <x v="1"/>
    <x v="9"/>
    <x v="19"/>
    <n v="400"/>
    <x v="1"/>
  </r>
  <r>
    <x v="20"/>
    <x v="0"/>
    <x v="1"/>
    <x v="2"/>
    <x v="20"/>
    <n v="500"/>
    <x v="1"/>
  </r>
  <r>
    <x v="21"/>
    <x v="1"/>
    <x v="1"/>
    <x v="3"/>
    <x v="21"/>
    <n v="900"/>
    <x v="1"/>
  </r>
  <r>
    <x v="22"/>
    <x v="0"/>
    <x v="1"/>
    <x v="3"/>
    <x v="19"/>
    <n v="600"/>
    <x v="1"/>
  </r>
  <r>
    <x v="23"/>
    <x v="1"/>
    <x v="1"/>
    <x v="2"/>
    <x v="22"/>
    <n v="300"/>
    <x v="1"/>
  </r>
  <r>
    <x v="24"/>
    <x v="1"/>
    <x v="1"/>
    <x v="10"/>
    <x v="23"/>
    <n v="600"/>
    <x v="1"/>
  </r>
  <r>
    <x v="25"/>
    <x v="0"/>
    <x v="1"/>
    <x v="1"/>
    <x v="24"/>
    <n v="200"/>
    <x v="1"/>
  </r>
  <r>
    <x v="26"/>
    <x v="1"/>
    <x v="1"/>
    <x v="11"/>
    <x v="25"/>
    <n v="500"/>
    <x v="1"/>
  </r>
  <r>
    <x v="27"/>
    <x v="1"/>
    <x v="1"/>
    <x v="11"/>
    <x v="26"/>
    <n v="550"/>
    <x v="1"/>
  </r>
  <r>
    <x v="28"/>
    <x v="1"/>
    <x v="1"/>
    <x v="1"/>
    <x v="27"/>
    <n v="550"/>
    <x v="1"/>
  </r>
  <r>
    <x v="29"/>
    <x v="0"/>
    <x v="1"/>
    <x v="5"/>
    <x v="28"/>
    <n v="600"/>
    <x v="1"/>
  </r>
  <r>
    <x v="30"/>
    <x v="0"/>
    <x v="1"/>
    <x v="12"/>
    <x v="29"/>
    <n v="500"/>
    <x v="2"/>
  </r>
  <r>
    <x v="31"/>
    <x v="0"/>
    <x v="1"/>
    <x v="7"/>
    <x v="30"/>
    <n v="500"/>
    <x v="3"/>
  </r>
  <r>
    <x v="32"/>
    <x v="0"/>
    <x v="1"/>
    <x v="7"/>
    <x v="31"/>
    <n v="750"/>
    <x v="3"/>
  </r>
  <r>
    <x v="33"/>
    <x v="0"/>
    <x v="1"/>
    <x v="6"/>
    <x v="32"/>
    <n v="500"/>
    <x v="2"/>
  </r>
  <r>
    <x v="34"/>
    <x v="0"/>
    <x v="1"/>
    <x v="7"/>
    <x v="33"/>
    <n v="650"/>
    <x v="3"/>
  </r>
  <r>
    <x v="35"/>
    <x v="0"/>
    <x v="1"/>
    <x v="12"/>
    <x v="34"/>
    <n v="400"/>
    <x v="3"/>
  </r>
  <r>
    <x v="36"/>
    <x v="0"/>
    <x v="1"/>
    <x v="6"/>
    <x v="35"/>
    <n v="600"/>
    <x v="3"/>
  </r>
  <r>
    <x v="37"/>
    <x v="0"/>
    <x v="1"/>
    <x v="13"/>
    <x v="36"/>
    <n v="750"/>
    <x v="2"/>
  </r>
  <r>
    <x v="38"/>
    <x v="0"/>
    <x v="1"/>
    <x v="5"/>
    <x v="37"/>
    <n v="150"/>
    <x v="3"/>
  </r>
  <r>
    <x v="39"/>
    <x v="0"/>
    <x v="1"/>
    <x v="1"/>
    <x v="15"/>
    <n v="200"/>
    <x v="3"/>
  </r>
  <r>
    <x v="40"/>
    <x v="1"/>
    <x v="1"/>
    <x v="7"/>
    <x v="21"/>
    <n v="300"/>
    <x v="3"/>
  </r>
  <r>
    <x v="41"/>
    <x v="0"/>
    <x v="1"/>
    <x v="7"/>
    <x v="5"/>
    <n v="500"/>
    <x v="3"/>
  </r>
  <r>
    <x v="42"/>
    <x v="0"/>
    <x v="1"/>
    <x v="7"/>
    <x v="38"/>
    <n v="800"/>
    <x v="3"/>
  </r>
  <r>
    <x v="7"/>
    <x v="0"/>
    <x v="0"/>
    <x v="4"/>
    <x v="7"/>
    <n v="600"/>
    <x v="2"/>
  </r>
  <r>
    <x v="43"/>
    <x v="1"/>
    <x v="1"/>
    <x v="1"/>
    <x v="39"/>
    <n v="400"/>
    <x v="3"/>
  </r>
  <r>
    <x v="44"/>
    <x v="0"/>
    <x v="1"/>
    <x v="3"/>
    <x v="40"/>
    <n v="300"/>
    <x v="3"/>
  </r>
  <r>
    <x v="45"/>
    <x v="0"/>
    <x v="1"/>
    <x v="5"/>
    <x v="41"/>
    <n v="450"/>
    <x v="3"/>
  </r>
  <r>
    <x v="46"/>
    <x v="0"/>
    <x v="1"/>
    <x v="2"/>
    <x v="42"/>
    <n v="850"/>
    <x v="3"/>
  </r>
  <r>
    <x v="47"/>
    <x v="0"/>
    <x v="1"/>
    <x v="8"/>
    <x v="43"/>
    <n v="300"/>
    <x v="3"/>
  </r>
  <r>
    <x v="48"/>
    <x v="1"/>
    <x v="1"/>
    <x v="2"/>
    <x v="44"/>
    <n v="450"/>
    <x v="3"/>
  </r>
  <r>
    <x v="49"/>
    <x v="0"/>
    <x v="1"/>
    <x v="0"/>
    <x v="21"/>
    <n v="150"/>
    <x v="3"/>
  </r>
  <r>
    <x v="50"/>
    <x v="1"/>
    <x v="1"/>
    <x v="14"/>
    <x v="45"/>
    <n v="400"/>
    <x v="3"/>
  </r>
  <r>
    <x v="51"/>
    <x v="0"/>
    <x v="1"/>
    <x v="5"/>
    <x v="46"/>
    <n v="750"/>
    <x v="3"/>
  </r>
  <r>
    <x v="52"/>
    <x v="1"/>
    <x v="1"/>
    <x v="5"/>
    <x v="47"/>
    <n v="450"/>
    <x v="3"/>
  </r>
  <r>
    <x v="53"/>
    <x v="0"/>
    <x v="1"/>
    <x v="7"/>
    <x v="48"/>
    <n v="450"/>
    <x v="3"/>
  </r>
  <r>
    <x v="54"/>
    <x v="0"/>
    <x v="1"/>
    <x v="1"/>
    <x v="49"/>
    <n v="300"/>
    <x v="3"/>
  </r>
  <r>
    <x v="55"/>
    <x v="0"/>
    <x v="0"/>
    <x v="6"/>
    <x v="50"/>
    <n v="800"/>
    <x v="2"/>
  </r>
  <r>
    <x v="56"/>
    <x v="1"/>
    <x v="1"/>
    <x v="3"/>
    <x v="51"/>
    <n v="200"/>
    <x v="3"/>
  </r>
  <r>
    <x v="57"/>
    <x v="0"/>
    <x v="1"/>
    <x v="2"/>
    <x v="37"/>
    <n v="400"/>
    <x v="3"/>
  </r>
  <r>
    <x v="58"/>
    <x v="1"/>
    <x v="1"/>
    <x v="6"/>
    <x v="40"/>
    <n v="800"/>
    <x v="2"/>
  </r>
  <r>
    <x v="59"/>
    <x v="0"/>
    <x v="0"/>
    <x v="3"/>
    <x v="52"/>
    <n v="800"/>
    <x v="3"/>
  </r>
  <r>
    <x v="60"/>
    <x v="0"/>
    <x v="1"/>
    <x v="1"/>
    <x v="53"/>
    <n v="150"/>
    <x v="3"/>
  </r>
  <r>
    <x v="61"/>
    <x v="1"/>
    <x v="0"/>
    <x v="5"/>
    <x v="54"/>
    <n v="850"/>
    <x v="3"/>
  </r>
  <r>
    <x v="62"/>
    <x v="1"/>
    <x v="1"/>
    <x v="2"/>
    <x v="55"/>
    <n v="150"/>
    <x v="3"/>
  </r>
  <r>
    <x v="63"/>
    <x v="0"/>
    <x v="1"/>
    <x v="0"/>
    <x v="56"/>
    <n v="400"/>
    <x v="3"/>
  </r>
  <r>
    <x v="64"/>
    <x v="0"/>
    <x v="1"/>
    <x v="3"/>
    <x v="57"/>
    <n v="100"/>
    <x v="3"/>
  </r>
  <r>
    <x v="65"/>
    <x v="1"/>
    <x v="1"/>
    <x v="0"/>
    <x v="58"/>
    <n v="700"/>
    <x v="3"/>
  </r>
  <r>
    <x v="66"/>
    <x v="1"/>
    <x v="1"/>
    <x v="1"/>
    <x v="59"/>
    <n v="300"/>
    <x v="3"/>
  </r>
  <r>
    <x v="67"/>
    <x v="0"/>
    <x v="1"/>
    <x v="10"/>
    <x v="60"/>
    <n v="600"/>
    <x v="3"/>
  </r>
  <r>
    <x v="68"/>
    <x v="0"/>
    <x v="1"/>
    <x v="3"/>
    <x v="61"/>
    <n v="500"/>
    <x v="3"/>
  </r>
  <r>
    <x v="69"/>
    <x v="1"/>
    <x v="1"/>
    <x v="0"/>
    <x v="62"/>
    <n v="300"/>
    <x v="3"/>
  </r>
  <r>
    <x v="70"/>
    <x v="1"/>
    <x v="1"/>
    <x v="0"/>
    <x v="63"/>
    <n v="150"/>
    <x v="3"/>
  </r>
  <r>
    <x v="71"/>
    <x v="1"/>
    <x v="1"/>
    <x v="15"/>
    <x v="64"/>
    <n v="700"/>
    <x v="2"/>
  </r>
  <r>
    <x v="72"/>
    <x v="1"/>
    <x v="1"/>
    <x v="3"/>
    <x v="65"/>
    <n v="300"/>
    <x v="3"/>
  </r>
  <r>
    <x v="73"/>
    <x v="1"/>
    <x v="1"/>
    <x v="3"/>
    <x v="63"/>
    <n v="500"/>
    <x v="3"/>
  </r>
  <r>
    <x v="74"/>
    <x v="0"/>
    <x v="1"/>
    <x v="0"/>
    <x v="66"/>
    <n v="150"/>
    <x v="3"/>
  </r>
  <r>
    <x v="75"/>
    <x v="0"/>
    <x v="1"/>
    <x v="3"/>
    <x v="21"/>
    <n v="300"/>
    <x v="3"/>
  </r>
  <r>
    <x v="76"/>
    <x v="1"/>
    <x v="1"/>
    <x v="2"/>
    <x v="67"/>
    <n v="500"/>
    <x v="3"/>
  </r>
  <r>
    <x v="77"/>
    <x v="1"/>
    <x v="1"/>
    <x v="1"/>
    <x v="59"/>
    <n v="350"/>
    <x v="3"/>
  </r>
  <r>
    <x v="78"/>
    <x v="0"/>
    <x v="1"/>
    <x v="1"/>
    <x v="68"/>
    <n v="500"/>
    <x v="3"/>
  </r>
  <r>
    <x v="79"/>
    <x v="0"/>
    <x v="1"/>
    <x v="6"/>
    <x v="69"/>
    <n v="400"/>
    <x v="3"/>
  </r>
  <r>
    <x v="80"/>
    <x v="1"/>
    <x v="1"/>
    <x v="16"/>
    <x v="70"/>
    <n v="200"/>
    <x v="3"/>
  </r>
  <r>
    <x v="81"/>
    <x v="1"/>
    <x v="1"/>
    <x v="1"/>
    <x v="71"/>
    <n v="700"/>
    <x v="3"/>
  </r>
  <r>
    <x v="82"/>
    <x v="1"/>
    <x v="1"/>
    <x v="1"/>
    <x v="63"/>
    <n v="100"/>
    <x v="3"/>
  </r>
  <r>
    <x v="83"/>
    <x v="1"/>
    <x v="1"/>
    <x v="5"/>
    <x v="72"/>
    <n v="300"/>
    <x v="3"/>
  </r>
  <r>
    <x v="84"/>
    <x v="0"/>
    <x v="1"/>
    <x v="13"/>
    <x v="73"/>
    <n v="600"/>
    <x v="3"/>
  </r>
  <r>
    <x v="85"/>
    <x v="1"/>
    <x v="1"/>
    <x v="16"/>
    <x v="22"/>
    <n v="200"/>
    <x v="3"/>
  </r>
  <r>
    <x v="86"/>
    <x v="1"/>
    <x v="1"/>
    <x v="16"/>
    <x v="74"/>
    <n v="500"/>
    <x v="3"/>
  </r>
  <r>
    <x v="87"/>
    <x v="1"/>
    <x v="1"/>
    <x v="2"/>
    <x v="44"/>
    <n v="250"/>
    <x v="3"/>
  </r>
  <r>
    <x v="88"/>
    <x v="1"/>
    <x v="1"/>
    <x v="2"/>
    <x v="63"/>
    <n v="500"/>
    <x v="3"/>
  </r>
  <r>
    <x v="89"/>
    <x v="1"/>
    <x v="1"/>
    <x v="2"/>
    <x v="63"/>
    <n v="400"/>
    <x v="3"/>
  </r>
  <r>
    <x v="90"/>
    <x v="1"/>
    <x v="1"/>
    <x v="2"/>
    <x v="63"/>
    <n v="200"/>
    <x v="3"/>
  </r>
  <r>
    <x v="91"/>
    <x v="1"/>
    <x v="1"/>
    <x v="10"/>
    <x v="75"/>
    <n v="300"/>
    <x v="3"/>
  </r>
  <r>
    <x v="92"/>
    <x v="1"/>
    <x v="1"/>
    <x v="17"/>
    <x v="76"/>
    <n v="600"/>
    <x v="3"/>
  </r>
  <r>
    <x v="93"/>
    <x v="1"/>
    <x v="1"/>
    <x v="11"/>
    <x v="19"/>
    <n v="800"/>
    <x v="3"/>
  </r>
  <r>
    <x v="94"/>
    <x v="1"/>
    <x v="1"/>
    <x v="1"/>
    <x v="77"/>
    <n v="250"/>
    <x v="3"/>
  </r>
  <r>
    <x v="95"/>
    <x v="1"/>
    <x v="1"/>
    <x v="2"/>
    <x v="59"/>
    <n v="950"/>
    <x v="3"/>
  </r>
  <r>
    <x v="96"/>
    <x v="1"/>
    <x v="1"/>
    <x v="2"/>
    <x v="78"/>
    <n v="300"/>
    <x v="3"/>
  </r>
  <r>
    <x v="97"/>
    <x v="0"/>
    <x v="1"/>
    <x v="1"/>
    <x v="60"/>
    <n v="400"/>
    <x v="3"/>
  </r>
  <r>
    <x v="98"/>
    <x v="1"/>
    <x v="1"/>
    <x v="16"/>
    <x v="79"/>
    <n v="300"/>
    <x v="3"/>
  </r>
  <r>
    <x v="99"/>
    <x v="1"/>
    <x v="1"/>
    <x v="2"/>
    <x v="80"/>
    <n v="200"/>
    <x v="3"/>
  </r>
  <r>
    <x v="100"/>
    <x v="1"/>
    <x v="1"/>
    <x v="16"/>
    <x v="81"/>
    <n v="300"/>
    <x v="3"/>
  </r>
  <r>
    <x v="101"/>
    <x v="1"/>
    <x v="1"/>
    <x v="1"/>
    <x v="82"/>
    <n v="400"/>
    <x v="3"/>
  </r>
  <r>
    <x v="24"/>
    <x v="1"/>
    <x v="1"/>
    <x v="10"/>
    <x v="23"/>
    <n v="600"/>
    <x v="3"/>
  </r>
  <r>
    <x v="102"/>
    <x v="1"/>
    <x v="1"/>
    <x v="16"/>
    <x v="18"/>
    <n v="300"/>
    <x v="3"/>
  </r>
  <r>
    <x v="103"/>
    <x v="1"/>
    <x v="1"/>
    <x v="18"/>
    <x v="6"/>
    <n v="300"/>
    <x v="3"/>
  </r>
  <r>
    <x v="104"/>
    <x v="1"/>
    <x v="1"/>
    <x v="18"/>
    <x v="63"/>
    <n v="250"/>
    <x v="3"/>
  </r>
  <r>
    <x v="105"/>
    <x v="1"/>
    <x v="1"/>
    <x v="10"/>
    <x v="75"/>
    <n v="300"/>
    <x v="3"/>
  </r>
  <r>
    <x v="106"/>
    <x v="1"/>
    <x v="1"/>
    <x v="10"/>
    <x v="25"/>
    <n v="300"/>
    <x v="3"/>
  </r>
  <r>
    <x v="107"/>
    <x v="1"/>
    <x v="1"/>
    <x v="10"/>
    <x v="63"/>
    <n v="200"/>
    <x v="3"/>
  </r>
  <r>
    <x v="108"/>
    <x v="1"/>
    <x v="1"/>
    <x v="8"/>
    <x v="83"/>
    <n v="150"/>
    <x v="3"/>
  </r>
  <r>
    <x v="109"/>
    <x v="1"/>
    <x v="1"/>
    <x v="18"/>
    <x v="6"/>
    <n v="400"/>
    <x v="3"/>
  </r>
  <r>
    <x v="110"/>
    <x v="1"/>
    <x v="1"/>
    <x v="18"/>
    <x v="63"/>
    <n v="150"/>
    <x v="3"/>
  </r>
  <r>
    <x v="111"/>
    <x v="1"/>
    <x v="1"/>
    <x v="18"/>
    <x v="63"/>
    <n v="300"/>
    <x v="3"/>
  </r>
  <r>
    <x v="112"/>
    <x v="1"/>
    <x v="1"/>
    <x v="18"/>
    <x v="63"/>
    <n v="200"/>
    <x v="3"/>
  </r>
  <r>
    <x v="113"/>
    <x v="1"/>
    <x v="1"/>
    <x v="18"/>
    <x v="63"/>
    <n v="150"/>
    <x v="3"/>
  </r>
  <r>
    <x v="114"/>
    <x v="1"/>
    <x v="1"/>
    <x v="18"/>
    <x v="63"/>
    <n v="150"/>
    <x v="3"/>
  </r>
  <r>
    <x v="115"/>
    <x v="1"/>
    <x v="1"/>
    <x v="18"/>
    <x v="63"/>
    <n v="250"/>
    <x v="3"/>
  </r>
  <r>
    <x v="116"/>
    <x v="1"/>
    <x v="1"/>
    <x v="8"/>
    <x v="84"/>
    <n v="900"/>
    <x v="3"/>
  </r>
  <r>
    <x v="117"/>
    <x v="0"/>
    <x v="1"/>
    <x v="0"/>
    <x v="85"/>
    <n v="300"/>
    <x v="3"/>
  </r>
  <r>
    <x v="118"/>
    <x v="1"/>
    <x v="1"/>
    <x v="11"/>
    <x v="74"/>
    <n v="200"/>
    <x v="3"/>
  </r>
  <r>
    <x v="119"/>
    <x v="1"/>
    <x v="1"/>
    <x v="8"/>
    <x v="61"/>
    <n v="100"/>
    <x v="3"/>
  </r>
  <r>
    <x v="120"/>
    <x v="1"/>
    <x v="1"/>
    <x v="11"/>
    <x v="37"/>
    <n v="200"/>
    <x v="3"/>
  </r>
  <r>
    <x v="121"/>
    <x v="1"/>
    <x v="1"/>
    <x v="15"/>
    <x v="86"/>
    <n v="200"/>
    <x v="3"/>
  </r>
  <r>
    <x v="122"/>
    <x v="1"/>
    <x v="1"/>
    <x v="15"/>
    <x v="63"/>
    <n v="400"/>
    <x v="3"/>
  </r>
  <r>
    <x v="123"/>
    <x v="1"/>
    <x v="1"/>
    <x v="15"/>
    <x v="63"/>
    <n v="350"/>
    <x v="3"/>
  </r>
  <r>
    <x v="124"/>
    <x v="1"/>
    <x v="1"/>
    <x v="11"/>
    <x v="6"/>
    <n v="100"/>
    <x v="3"/>
  </r>
  <r>
    <x v="125"/>
    <x v="1"/>
    <x v="1"/>
    <x v="11"/>
    <x v="63"/>
    <n v="150"/>
    <x v="3"/>
  </r>
  <r>
    <x v="126"/>
    <x v="1"/>
    <x v="1"/>
    <x v="18"/>
    <x v="63"/>
    <n v="150"/>
    <x v="3"/>
  </r>
  <r>
    <x v="127"/>
    <x v="1"/>
    <x v="1"/>
    <x v="18"/>
    <x v="63"/>
    <n v="200"/>
    <x v="3"/>
  </r>
  <r>
    <x v="128"/>
    <x v="1"/>
    <x v="1"/>
    <x v="18"/>
    <x v="63"/>
    <n v="100"/>
    <x v="3"/>
  </r>
  <r>
    <x v="129"/>
    <x v="1"/>
    <x v="1"/>
    <x v="8"/>
    <x v="63"/>
    <n v="400"/>
    <x v="3"/>
  </r>
  <r>
    <x v="130"/>
    <x v="1"/>
    <x v="1"/>
    <x v="0"/>
    <x v="63"/>
    <n v="200"/>
    <x v="3"/>
  </r>
  <r>
    <x v="131"/>
    <x v="1"/>
    <x v="1"/>
    <x v="11"/>
    <x v="63"/>
    <n v="150"/>
    <x v="3"/>
  </r>
  <r>
    <x v="132"/>
    <x v="1"/>
    <x v="1"/>
    <x v="8"/>
    <x v="63"/>
    <n v="400"/>
    <x v="3"/>
  </r>
  <r>
    <x v="133"/>
    <x v="1"/>
    <x v="1"/>
    <x v="11"/>
    <x v="63"/>
    <n v="150"/>
    <x v="3"/>
  </r>
  <r>
    <x v="134"/>
    <x v="1"/>
    <x v="1"/>
    <x v="15"/>
    <x v="63"/>
    <n v="250"/>
    <x v="3"/>
  </r>
  <r>
    <x v="135"/>
    <x v="1"/>
    <x v="1"/>
    <x v="15"/>
    <x v="63"/>
    <n v="250"/>
    <x v="3"/>
  </r>
  <r>
    <x v="136"/>
    <x v="1"/>
    <x v="1"/>
    <x v="15"/>
    <x v="63"/>
    <n v="150"/>
    <x v="3"/>
  </r>
  <r>
    <x v="137"/>
    <x v="1"/>
    <x v="1"/>
    <x v="11"/>
    <x v="63"/>
    <n v="200"/>
    <x v="3"/>
  </r>
  <r>
    <x v="138"/>
    <x v="1"/>
    <x v="1"/>
    <x v="11"/>
    <x v="63"/>
    <n v="350"/>
    <x v="3"/>
  </r>
  <r>
    <x v="139"/>
    <x v="1"/>
    <x v="1"/>
    <x v="11"/>
    <x v="63"/>
    <n v="300"/>
    <x v="3"/>
  </r>
  <r>
    <x v="140"/>
    <x v="1"/>
    <x v="1"/>
    <x v="11"/>
    <x v="63"/>
    <n v="100"/>
    <x v="3"/>
  </r>
  <r>
    <x v="141"/>
    <x v="1"/>
    <x v="1"/>
    <x v="11"/>
    <x v="63"/>
    <n v="150"/>
    <x v="3"/>
  </r>
  <r>
    <x v="142"/>
    <x v="0"/>
    <x v="1"/>
    <x v="5"/>
    <x v="87"/>
    <n v="450"/>
    <x v="3"/>
  </r>
  <r>
    <x v="143"/>
    <x v="1"/>
    <x v="1"/>
    <x v="9"/>
    <x v="88"/>
    <n v="800"/>
    <x v="3"/>
  </r>
  <r>
    <x v="144"/>
    <x v="0"/>
    <x v="1"/>
    <x v="7"/>
    <x v="89"/>
    <n v="2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4D1688-A4C5-4FF6-832D-B80401AC993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rowHeaderCaption="">
  <location ref="M14:P20" firstHeaderRow="1" firstDataRow="2" firstDataCol="1"/>
  <pivotFields count="7">
    <pivotField dataField="1" showAll="0" countASubtotal="1">
      <items count="146">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t="countA"/>
      </items>
    </pivotField>
    <pivotField axis="axisCol" showAll="0">
      <items count="3">
        <item x="1"/>
        <item x="0"/>
        <item t="default"/>
      </items>
    </pivotField>
    <pivotField showAll="0">
      <items count="3">
        <item x="1"/>
        <item x="0"/>
        <item t="default"/>
      </items>
    </pivotField>
    <pivotField showAll="0">
      <items count="20">
        <item x="17"/>
        <item x="12"/>
        <item x="15"/>
        <item x="9"/>
        <item x="8"/>
        <item x="10"/>
        <item x="11"/>
        <item x="18"/>
        <item x="16"/>
        <item x="3"/>
        <item x="2"/>
        <item x="1"/>
        <item x="7"/>
        <item x="5"/>
        <item x="0"/>
        <item x="6"/>
        <item x="14"/>
        <item x="13"/>
        <item x="4"/>
        <item t="default"/>
      </items>
    </pivotField>
    <pivotField showAll="0">
      <items count="91">
        <item x="63"/>
        <item x="25"/>
        <item x="61"/>
        <item x="74"/>
        <item x="6"/>
        <item x="75"/>
        <item x="81"/>
        <item x="23"/>
        <item x="18"/>
        <item x="70"/>
        <item x="37"/>
        <item x="44"/>
        <item x="67"/>
        <item x="26"/>
        <item x="86"/>
        <item x="21"/>
        <item x="83"/>
        <item x="84"/>
        <item x="22"/>
        <item x="57"/>
        <item x="30"/>
        <item x="39"/>
        <item x="59"/>
        <item x="71"/>
        <item x="82"/>
        <item x="89"/>
        <item x="79"/>
        <item x="51"/>
        <item x="53"/>
        <item x="19"/>
        <item x="77"/>
        <item x="78"/>
        <item x="72"/>
        <item x="60"/>
        <item x="24"/>
        <item x="55"/>
        <item x="64"/>
        <item x="3"/>
        <item x="14"/>
        <item x="34"/>
        <item x="17"/>
        <item x="88"/>
        <item x="49"/>
        <item x="80"/>
        <item x="15"/>
        <item x="16"/>
        <item x="69"/>
        <item x="27"/>
        <item x="11"/>
        <item x="68"/>
        <item x="52"/>
        <item x="12"/>
        <item x="4"/>
        <item x="31"/>
        <item x="20"/>
        <item x="85"/>
        <item x="28"/>
        <item x="33"/>
        <item x="40"/>
        <item x="43"/>
        <item x="76"/>
        <item x="5"/>
        <item x="65"/>
        <item x="8"/>
        <item x="45"/>
        <item x="50"/>
        <item x="10"/>
        <item x="32"/>
        <item x="13"/>
        <item x="9"/>
        <item x="29"/>
        <item x="62"/>
        <item x="38"/>
        <item x="66"/>
        <item x="46"/>
        <item x="48"/>
        <item x="42"/>
        <item x="87"/>
        <item x="0"/>
        <item x="1"/>
        <item x="41"/>
        <item x="54"/>
        <item x="58"/>
        <item x="2"/>
        <item x="47"/>
        <item x="35"/>
        <item x="56"/>
        <item x="7"/>
        <item x="73"/>
        <item x="36"/>
        <item t="default"/>
      </items>
    </pivotField>
    <pivotField showAll="0"/>
    <pivotField axis="axisRow" showAll="0">
      <items count="5">
        <item x="0"/>
        <item x="1"/>
        <item x="3"/>
        <item x="2"/>
        <item t="default"/>
      </items>
    </pivotField>
  </pivotFields>
  <rowFields count="1">
    <field x="6"/>
  </rowFields>
  <rowItems count="5">
    <i>
      <x/>
    </i>
    <i>
      <x v="1"/>
    </i>
    <i>
      <x v="2"/>
    </i>
    <i>
      <x v="3"/>
    </i>
    <i t="grand">
      <x/>
    </i>
  </rowItems>
  <colFields count="1">
    <field x="1"/>
  </colFields>
  <colItems count="3">
    <i>
      <x/>
    </i>
    <i>
      <x v="1"/>
    </i>
    <i t="grand">
      <x/>
    </i>
  </colItems>
  <dataFields count="1">
    <dataField name="Count of name" fld="0" subtotal="count" baseField="0" baseItem="0"/>
  </dataFields>
  <chartFormats count="4">
    <chartFormat chart="39" format="0" series="1">
      <pivotArea type="data" outline="0" fieldPosition="0">
        <references count="1">
          <reference field="4294967294" count="1" selected="0">
            <x v="0"/>
          </reference>
        </references>
      </pivotArea>
    </chartFormat>
    <chartFormat chart="39" format="91" series="1">
      <pivotArea type="data" outline="0" fieldPosition="0">
        <references count="2">
          <reference field="4294967294" count="1" selected="0">
            <x v="0"/>
          </reference>
          <reference field="1" count="1" selected="0">
            <x v="1"/>
          </reference>
        </references>
      </pivotArea>
    </chartFormat>
    <chartFormat chart="48" format="94" series="1">
      <pivotArea type="data" outline="0" fieldPosition="0">
        <references count="2">
          <reference field="4294967294" count="1" selected="0">
            <x v="0"/>
          </reference>
          <reference field="1" count="1" selected="0">
            <x v="0"/>
          </reference>
        </references>
      </pivotArea>
    </chartFormat>
    <chartFormat chart="48" format="9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B360CE-F237-43FB-8A05-06970B0C623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ONLINE ORDER">
  <location ref="J28:K31" firstHeaderRow="1" firstDataRow="1" firstDataCol="1"/>
  <pivotFields count="7">
    <pivotField showAll="0" countASubtotal="1">
      <items count="146">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t="countA"/>
      </items>
    </pivotField>
    <pivotField showAll="0">
      <items count="3">
        <item x="1"/>
        <item x="0"/>
        <item t="default"/>
      </items>
    </pivotField>
    <pivotField axis="axisRow" showAll="0">
      <items count="3">
        <item x="1"/>
        <item x="0"/>
        <item t="default"/>
      </items>
    </pivotField>
    <pivotField showAll="0"/>
    <pivotField showAll="0"/>
    <pivotField dataField="1" showAll="0"/>
    <pivotField showAll="0">
      <items count="5">
        <item x="0"/>
        <item x="1"/>
        <item x="3"/>
        <item x="2"/>
        <item t="default"/>
      </items>
    </pivotField>
  </pivotFields>
  <rowFields count="1">
    <field x="2"/>
  </rowFields>
  <rowItems count="3">
    <i>
      <x/>
    </i>
    <i>
      <x v="1"/>
    </i>
    <i t="grand">
      <x/>
    </i>
  </rowItems>
  <colItems count="1">
    <i/>
  </colItems>
  <dataFields count="1">
    <dataField name="Average of approx_cost(for two people)" fld="5" subtotal="average" baseField="6" baseItem="0" numFmtId="2"/>
  </dataFields>
  <chartFormats count="8">
    <chartFormat chart="17" format="1"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2" count="1" selected="0">
            <x v="0"/>
          </reference>
        </references>
      </pivotArea>
    </chartFormat>
    <chartFormat chart="38" format="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74E02F-4366-4E7E-8E3B-39B71A32A5E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ONLINE ORDER">
  <location ref="J22:K25" firstHeaderRow="1" firstDataRow="1" firstDataCol="1"/>
  <pivotFields count="7">
    <pivotField showAll="0" countASubtotal="1">
      <items count="146">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t="countA"/>
      </items>
    </pivotField>
    <pivotField axis="axisRow" showAll="0">
      <items count="3">
        <item x="1"/>
        <item x="0"/>
        <item t="default"/>
      </items>
    </pivotField>
    <pivotField showAll="0">
      <items count="3">
        <item x="1"/>
        <item h="1" x="0"/>
        <item t="default"/>
      </items>
    </pivotField>
    <pivotField showAll="0"/>
    <pivotField showAll="0"/>
    <pivotField dataField="1" showAll="0"/>
    <pivotField showAll="0">
      <items count="5">
        <item x="0"/>
        <item x="1"/>
        <item x="3"/>
        <item x="2"/>
        <item t="default"/>
      </items>
    </pivotField>
  </pivotFields>
  <rowFields count="1">
    <field x="1"/>
  </rowFields>
  <rowItems count="3">
    <i>
      <x/>
    </i>
    <i>
      <x v="1"/>
    </i>
    <i t="grand">
      <x/>
    </i>
  </rowItems>
  <colItems count="1">
    <i/>
  </colItems>
  <dataFields count="1">
    <dataField name="Average of approx_cost(for two people)" fld="5" subtotal="average" baseField="6" baseItem="0" numFmtId="2"/>
  </dataFields>
  <chartFormats count="6">
    <chartFormat chart="17" format="1"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1" count="1" selected="0">
            <x v="0"/>
          </reference>
        </references>
      </pivotArea>
    </chartFormat>
    <chartFormat chart="33" format="4">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387F46-AE49-4EC9-ADCA-0C5850B7D86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
  <location ref="M2:P6" firstHeaderRow="1" firstDataRow="2" firstDataCol="1"/>
  <pivotFields count="7">
    <pivotField dataField="1" showAll="0" countASubtotal="1">
      <items count="146">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t="countA"/>
      </items>
    </pivotField>
    <pivotField axis="axisRow" showAll="0">
      <items count="3">
        <item x="1"/>
        <item x="0"/>
        <item t="default"/>
      </items>
    </pivotField>
    <pivotField axis="axisCol" showAll="0">
      <items count="3">
        <item x="1"/>
        <item x="0"/>
        <item t="default"/>
      </items>
    </pivotField>
    <pivotField showAll="0">
      <items count="20">
        <item x="17"/>
        <item x="12"/>
        <item x="15"/>
        <item x="9"/>
        <item x="8"/>
        <item x="10"/>
        <item x="11"/>
        <item x="18"/>
        <item x="16"/>
        <item x="3"/>
        <item x="2"/>
        <item x="1"/>
        <item x="7"/>
        <item x="5"/>
        <item x="0"/>
        <item x="6"/>
        <item x="14"/>
        <item x="13"/>
        <item x="4"/>
        <item t="default"/>
      </items>
    </pivotField>
    <pivotField showAll="0">
      <items count="91">
        <item x="63"/>
        <item x="25"/>
        <item x="61"/>
        <item x="74"/>
        <item x="6"/>
        <item x="75"/>
        <item x="81"/>
        <item x="23"/>
        <item x="18"/>
        <item x="70"/>
        <item x="37"/>
        <item x="44"/>
        <item x="67"/>
        <item x="26"/>
        <item x="86"/>
        <item x="21"/>
        <item x="83"/>
        <item x="84"/>
        <item x="22"/>
        <item x="57"/>
        <item x="30"/>
        <item x="39"/>
        <item x="59"/>
        <item x="71"/>
        <item x="82"/>
        <item x="89"/>
        <item x="79"/>
        <item x="51"/>
        <item x="53"/>
        <item x="19"/>
        <item x="77"/>
        <item x="78"/>
        <item x="72"/>
        <item x="60"/>
        <item x="24"/>
        <item x="55"/>
        <item x="64"/>
        <item x="3"/>
        <item x="14"/>
        <item x="34"/>
        <item x="17"/>
        <item x="88"/>
        <item x="49"/>
        <item x="80"/>
        <item x="15"/>
        <item x="16"/>
        <item x="69"/>
        <item x="27"/>
        <item x="11"/>
        <item x="68"/>
        <item x="52"/>
        <item x="12"/>
        <item x="4"/>
        <item x="31"/>
        <item x="20"/>
        <item x="85"/>
        <item x="28"/>
        <item x="33"/>
        <item x="40"/>
        <item x="43"/>
        <item x="76"/>
        <item x="5"/>
        <item x="65"/>
        <item x="8"/>
        <item x="45"/>
        <item x="50"/>
        <item x="10"/>
        <item x="32"/>
        <item x="13"/>
        <item x="9"/>
        <item x="29"/>
        <item x="62"/>
        <item x="38"/>
        <item x="66"/>
        <item x="46"/>
        <item x="48"/>
        <item x="42"/>
        <item x="87"/>
        <item x="0"/>
        <item x="1"/>
        <item x="41"/>
        <item x="54"/>
        <item x="58"/>
        <item x="2"/>
        <item x="47"/>
        <item x="35"/>
        <item x="56"/>
        <item x="7"/>
        <item x="73"/>
        <item x="36"/>
        <item t="default"/>
      </items>
    </pivotField>
    <pivotField showAll="0"/>
    <pivotField showAll="0">
      <items count="5">
        <item x="0"/>
        <item x="1"/>
        <item x="3"/>
        <item x="2"/>
        <item t="default"/>
      </items>
    </pivotField>
  </pivotFields>
  <rowFields count="1">
    <field x="1"/>
  </rowFields>
  <rowItems count="3">
    <i>
      <x/>
    </i>
    <i>
      <x v="1"/>
    </i>
    <i t="grand">
      <x/>
    </i>
  </rowItems>
  <colFields count="1">
    <field x="2"/>
  </colFields>
  <colItems count="3">
    <i>
      <x/>
    </i>
    <i>
      <x v="1"/>
    </i>
    <i t="grand">
      <x/>
    </i>
  </colItems>
  <dataFields count="1">
    <dataField name="Count of name" fld="0" subtotal="count" baseField="0" baseItem="0"/>
  </dataFields>
  <chartFormats count="4">
    <chartFormat chart="37" format="3" series="1">
      <pivotArea type="data" outline="0" fieldPosition="0">
        <references count="1">
          <reference field="2" count="1" selected="0">
            <x v="0"/>
          </reference>
        </references>
      </pivotArea>
    </chartFormat>
    <chartFormat chart="37" format="4" series="1">
      <pivotArea type="data" outline="0" fieldPosition="0">
        <references count="1">
          <reference field="2" count="1" selected="0">
            <x v="1"/>
          </reference>
        </references>
      </pivotArea>
    </chartFormat>
    <chartFormat chart="40" format="7" series="1">
      <pivotArea type="data" outline="0" fieldPosition="0">
        <references count="2">
          <reference field="4294967294" count="1" selected="0">
            <x v="0"/>
          </reference>
          <reference field="2" count="1" selected="0">
            <x v="0"/>
          </reference>
        </references>
      </pivotArea>
    </chartFormat>
    <chartFormat chart="40" format="8"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138849-43B2-4A43-8C1D-136868000E3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RESTAURANT TYPE">
  <location ref="J1:K6" firstHeaderRow="1" firstDataRow="1" firstDataCol="1"/>
  <pivotFields count="7">
    <pivotField showAll="0">
      <items count="146">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t="default"/>
      </items>
    </pivotField>
    <pivotField showAll="0">
      <items count="3">
        <item x="1"/>
        <item x="0"/>
        <item t="default"/>
      </items>
    </pivotField>
    <pivotField showAll="0">
      <items count="3">
        <item x="1"/>
        <item h="1" x="0"/>
        <item t="default"/>
      </items>
    </pivotField>
    <pivotField dataField="1" showAll="0"/>
    <pivotField showAll="0"/>
    <pivotField showAll="0"/>
    <pivotField axis="axisRow" showAll="0">
      <items count="5">
        <item x="0"/>
        <item x="1"/>
        <item x="3"/>
        <item x="2"/>
        <item t="default"/>
      </items>
    </pivotField>
  </pivotFields>
  <rowFields count="1">
    <field x="6"/>
  </rowFields>
  <rowItems count="5">
    <i>
      <x/>
    </i>
    <i>
      <x v="1"/>
    </i>
    <i>
      <x v="2"/>
    </i>
    <i>
      <x v="3"/>
    </i>
    <i t="grand">
      <x/>
    </i>
  </rowItems>
  <colItems count="1">
    <i/>
  </colItems>
  <dataFields count="1">
    <dataField name="Average of rate" fld="3" subtotal="average" baseField="6" baseItem="0" numFmtId="2"/>
  </dataFields>
  <chartFormats count="2">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270779-D4DE-4258-97ED-DA7E2CF62A9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RESTAURANT TYPE">
  <location ref="J10:K15" firstHeaderRow="1" firstDataRow="1" firstDataCol="1"/>
  <pivotFields count="7">
    <pivotField showAll="0" countASubtotal="1">
      <items count="146">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t="countA"/>
      </items>
    </pivotField>
    <pivotField showAll="0">
      <items count="3">
        <item x="1"/>
        <item x="0"/>
        <item t="default"/>
      </items>
    </pivotField>
    <pivotField showAll="0">
      <items count="3">
        <item x="1"/>
        <item h="1" x="0"/>
        <item t="default"/>
      </items>
    </pivotField>
    <pivotField showAll="0"/>
    <pivotField showAll="0"/>
    <pivotField dataField="1" showAll="0"/>
    <pivotField axis="axisRow" showAll="0">
      <items count="5">
        <item x="0"/>
        <item x="1"/>
        <item x="3"/>
        <item x="2"/>
        <item t="default"/>
      </items>
    </pivotField>
  </pivotFields>
  <rowFields count="1">
    <field x="6"/>
  </rowFields>
  <rowItems count="5">
    <i>
      <x/>
    </i>
    <i>
      <x v="1"/>
    </i>
    <i>
      <x v="2"/>
    </i>
    <i>
      <x v="3"/>
    </i>
    <i t="grand">
      <x/>
    </i>
  </rowItems>
  <colItems count="1">
    <i/>
  </colItems>
  <dataFields count="1">
    <dataField name="Average of approx_cost(for two people)" fld="5" subtotal="average" baseField="6" baseItem="0" numFmtId="2"/>
  </dataFields>
  <chartFormats count="6">
    <chartFormat chart="17" format="1" series="1">
      <pivotArea type="data" outline="0" fieldPosition="0">
        <references count="1">
          <reference field="4294967294" count="1" selected="0">
            <x v="0"/>
          </reference>
        </references>
      </pivotArea>
    </chartFormat>
    <chartFormat chart="26" format="7" series="1">
      <pivotArea type="data" outline="0" fieldPosition="0">
        <references count="1">
          <reference field="4294967294" count="1" selected="0">
            <x v="0"/>
          </reference>
        </references>
      </pivotArea>
    </chartFormat>
    <chartFormat chart="26" format="8">
      <pivotArea type="data" outline="0" fieldPosition="0">
        <references count="2">
          <reference field="4294967294" count="1" selected="0">
            <x v="0"/>
          </reference>
          <reference field="6" count="1" selected="0">
            <x v="0"/>
          </reference>
        </references>
      </pivotArea>
    </chartFormat>
    <chartFormat chart="26" format="9">
      <pivotArea type="data" outline="0" fieldPosition="0">
        <references count="2">
          <reference field="4294967294" count="1" selected="0">
            <x v="0"/>
          </reference>
          <reference field="6" count="1" selected="0">
            <x v="1"/>
          </reference>
        </references>
      </pivotArea>
    </chartFormat>
    <chartFormat chart="26" format="10">
      <pivotArea type="data" outline="0" fieldPosition="0">
        <references count="2">
          <reference field="4294967294" count="1" selected="0">
            <x v="0"/>
          </reference>
          <reference field="6" count="1" selected="0">
            <x v="2"/>
          </reference>
        </references>
      </pivotArea>
    </chartFormat>
    <chartFormat chart="26" format="1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0B81F2-E886-44D8-95F6-164B1F4D3E8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TOP 10 RESTAURANTS">
  <location ref="G11:H22" firstHeaderRow="1" firstDataRow="1" firstDataCol="1"/>
  <pivotFields count="7">
    <pivotField axis="axisRow" showAll="0" measureFilter="1" sortType="descending">
      <items count="146">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3">
        <item x="1"/>
        <item h="1" x="0"/>
        <item t="default"/>
      </items>
    </pivotField>
    <pivotField showAll="0"/>
    <pivotField dataField="1" showAll="0"/>
    <pivotField showAll="0"/>
    <pivotField showAll="0">
      <items count="5">
        <item x="0"/>
        <item x="1"/>
        <item x="3"/>
        <item x="2"/>
        <item t="default"/>
      </items>
    </pivotField>
  </pivotFields>
  <rowFields count="1">
    <field x="0"/>
  </rowFields>
  <rowItems count="11">
    <i>
      <x v="92"/>
    </i>
    <i>
      <x v="41"/>
    </i>
    <i>
      <x v="82"/>
    </i>
    <i>
      <x v="107"/>
    </i>
    <i>
      <x v="63"/>
    </i>
    <i>
      <x v="125"/>
    </i>
    <i>
      <x v="105"/>
    </i>
    <i>
      <x v="53"/>
    </i>
    <i>
      <x v="60"/>
    </i>
    <i>
      <x v="100"/>
    </i>
    <i t="grand">
      <x/>
    </i>
  </rowItems>
  <colItems count="1">
    <i/>
  </colItems>
  <dataFields count="1">
    <dataField name="Sum of votes" fld="4" baseField="0" baseItem="0"/>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6363FF-EE00-434E-8335-71E5FCC101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LISTED IN TYPE">
  <location ref="A3:B8" firstHeaderRow="1" firstDataRow="1" firstDataCol="1"/>
  <pivotFields count="7">
    <pivotField dataField="1" showAll="0">
      <items count="146">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t="default"/>
      </items>
    </pivotField>
    <pivotField showAll="0">
      <items count="3">
        <item x="1"/>
        <item h="1" x="0"/>
        <item t="default"/>
      </items>
    </pivotField>
    <pivotField showAll="0">
      <items count="3">
        <item x="1"/>
        <item x="0"/>
        <item t="default"/>
      </items>
    </pivotField>
    <pivotField showAll="0"/>
    <pivotField showAll="0">
      <items count="91">
        <item x="63"/>
        <item x="25"/>
        <item x="61"/>
        <item x="74"/>
        <item x="6"/>
        <item x="75"/>
        <item x="81"/>
        <item x="23"/>
        <item x="18"/>
        <item x="70"/>
        <item x="37"/>
        <item x="44"/>
        <item x="67"/>
        <item x="26"/>
        <item x="86"/>
        <item x="21"/>
        <item x="83"/>
        <item x="84"/>
        <item x="22"/>
        <item x="57"/>
        <item x="30"/>
        <item x="39"/>
        <item x="59"/>
        <item x="71"/>
        <item x="82"/>
        <item x="89"/>
        <item x="79"/>
        <item x="51"/>
        <item x="53"/>
        <item x="19"/>
        <item x="77"/>
        <item x="78"/>
        <item x="72"/>
        <item x="60"/>
        <item x="24"/>
        <item x="55"/>
        <item x="64"/>
        <item x="3"/>
        <item x="14"/>
        <item x="34"/>
        <item x="17"/>
        <item x="88"/>
        <item x="49"/>
        <item x="80"/>
        <item x="15"/>
        <item x="16"/>
        <item x="69"/>
        <item x="27"/>
        <item x="11"/>
        <item x="68"/>
        <item x="52"/>
        <item x="12"/>
        <item x="4"/>
        <item x="31"/>
        <item x="20"/>
        <item x="85"/>
        <item x="28"/>
        <item x="33"/>
        <item x="40"/>
        <item x="43"/>
        <item x="76"/>
        <item x="5"/>
        <item x="65"/>
        <item x="8"/>
        <item x="45"/>
        <item x="50"/>
        <item x="10"/>
        <item x="32"/>
        <item x="13"/>
        <item x="9"/>
        <item x="29"/>
        <item x="62"/>
        <item x="38"/>
        <item x="66"/>
        <item x="46"/>
        <item x="48"/>
        <item x="42"/>
        <item x="87"/>
        <item x="0"/>
        <item x="1"/>
        <item x="41"/>
        <item x="54"/>
        <item x="58"/>
        <item x="2"/>
        <item x="47"/>
        <item x="35"/>
        <item x="56"/>
        <item x="7"/>
        <item x="73"/>
        <item x="36"/>
        <item t="default"/>
      </items>
    </pivotField>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s>
  <rowFields count="1">
    <field x="6"/>
  </rowFields>
  <rowItems count="5">
    <i>
      <x v="2"/>
    </i>
    <i>
      <x v="1"/>
    </i>
    <i>
      <x v="3"/>
    </i>
    <i>
      <x/>
    </i>
    <i t="grand">
      <x/>
    </i>
  </rowItems>
  <colItems count="1">
    <i/>
  </colItems>
  <dataFields count="1">
    <dataField name="Count of name" fld="0" subtotal="count" baseField="0" baseItem="0"/>
  </dataFields>
  <chartFormats count="2">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DBB840-3FB8-4E97-8935-A69C7FB0D26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TOP 10 RESTAURANTS">
  <location ref="D11:E24" firstHeaderRow="1" firstDataRow="1" firstDataCol="1"/>
  <pivotFields count="7">
    <pivotField axis="axisRow" showAll="0" measureFilter="1" sortType="descending">
      <items count="146">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3">
        <item x="1"/>
        <item h="1" x="0"/>
        <item t="default"/>
      </items>
    </pivotField>
    <pivotField dataField="1" showAll="0"/>
    <pivotField showAll="0"/>
    <pivotField showAll="0"/>
    <pivotField showAll="0">
      <items count="5">
        <item x="0"/>
        <item x="1"/>
        <item x="3"/>
        <item x="2"/>
        <item t="default"/>
      </items>
    </pivotField>
  </pivotFields>
  <rowFields count="1">
    <field x="0"/>
  </rowFields>
  <rowItems count="13">
    <i>
      <x v="92"/>
    </i>
    <i>
      <x v="41"/>
    </i>
    <i>
      <x v="82"/>
    </i>
    <i>
      <x v="33"/>
    </i>
    <i>
      <x v="49"/>
    </i>
    <i>
      <x v="125"/>
    </i>
    <i>
      <x v="110"/>
    </i>
    <i>
      <x v="18"/>
    </i>
    <i>
      <x v="132"/>
    </i>
    <i>
      <x v="141"/>
    </i>
    <i>
      <x v="42"/>
    </i>
    <i>
      <x v="97"/>
    </i>
    <i t="grand">
      <x/>
    </i>
  </rowItems>
  <colItems count="1">
    <i/>
  </colItems>
  <dataFields count="1">
    <dataField name="Average of rate" fld="3" subtotal="average" baseField="0" baseItem="0"/>
  </dataFields>
  <chartFormats count="2">
    <chartFormat chart="16"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65D056-36C7-4FA3-ADA2-480016C45DC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LISTED IN TYPE">
  <location ref="D3:E8" firstHeaderRow="1" firstDataRow="1" firstDataCol="1"/>
  <pivotFields count="7">
    <pivotField showAll="0">
      <items count="146">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t="default"/>
      </items>
    </pivotField>
    <pivotField showAll="0">
      <items count="3">
        <item x="1"/>
        <item h="1" x="0"/>
        <item t="default"/>
      </items>
    </pivotField>
    <pivotField showAll="0">
      <items count="3">
        <item x="1"/>
        <item x="0"/>
        <item t="default"/>
      </items>
    </pivotField>
    <pivotField dataField="1" showAll="0"/>
    <pivotField showAll="0">
      <items count="91">
        <item x="63"/>
        <item x="25"/>
        <item x="61"/>
        <item x="74"/>
        <item x="6"/>
        <item x="75"/>
        <item x="81"/>
        <item x="23"/>
        <item x="18"/>
        <item x="70"/>
        <item x="37"/>
        <item x="44"/>
        <item x="67"/>
        <item x="26"/>
        <item x="86"/>
        <item x="21"/>
        <item x="83"/>
        <item x="84"/>
        <item x="22"/>
        <item x="57"/>
        <item x="30"/>
        <item x="39"/>
        <item x="59"/>
        <item x="71"/>
        <item x="82"/>
        <item x="89"/>
        <item x="79"/>
        <item x="51"/>
        <item x="53"/>
        <item x="19"/>
        <item x="77"/>
        <item x="78"/>
        <item x="72"/>
        <item x="60"/>
        <item x="24"/>
        <item x="55"/>
        <item x="64"/>
        <item x="3"/>
        <item x="14"/>
        <item x="34"/>
        <item x="17"/>
        <item x="88"/>
        <item x="49"/>
        <item x="80"/>
        <item x="15"/>
        <item x="16"/>
        <item x="69"/>
        <item x="27"/>
        <item x="11"/>
        <item x="68"/>
        <item x="52"/>
        <item x="12"/>
        <item x="4"/>
        <item x="31"/>
        <item x="20"/>
        <item x="85"/>
        <item x="28"/>
        <item x="33"/>
        <item x="40"/>
        <item x="43"/>
        <item x="76"/>
        <item x="5"/>
        <item x="65"/>
        <item x="8"/>
        <item x="45"/>
        <item x="50"/>
        <item x="10"/>
        <item x="32"/>
        <item x="13"/>
        <item x="9"/>
        <item x="29"/>
        <item x="62"/>
        <item x="38"/>
        <item x="66"/>
        <item x="46"/>
        <item x="48"/>
        <item x="42"/>
        <item x="87"/>
        <item x="0"/>
        <item x="1"/>
        <item x="41"/>
        <item x="54"/>
        <item x="58"/>
        <item x="2"/>
        <item x="47"/>
        <item x="35"/>
        <item x="56"/>
        <item x="7"/>
        <item x="73"/>
        <item x="36"/>
        <item t="default"/>
      </items>
    </pivotField>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s>
  <rowFields count="1">
    <field x="6"/>
  </rowFields>
  <rowItems count="5">
    <i>
      <x v="3"/>
    </i>
    <i>
      <x/>
    </i>
    <i>
      <x v="1"/>
    </i>
    <i>
      <x v="2"/>
    </i>
    <i t="grand">
      <x/>
    </i>
  </rowItems>
  <colItems count="1">
    <i/>
  </colItems>
  <dataFields count="1">
    <dataField name="Average of rate" fld="3" subtotal="average" baseField="6" baseItem="0" numFmtId="2"/>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1C091E2-37C8-43CD-9F16-C736E6BBC1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BOOK TABLE">
  <location ref="A15:B18" firstHeaderRow="1" firstDataRow="1" firstDataCol="1"/>
  <pivotFields count="7">
    <pivotField dataField="1" showAll="0">
      <items count="146">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t="default"/>
      </items>
    </pivotField>
    <pivotField showAll="0">
      <items count="3">
        <item x="1"/>
        <item h="1" x="0"/>
        <item t="default"/>
      </items>
    </pivotField>
    <pivotField axis="axisRow" showAll="0">
      <items count="3">
        <item x="1"/>
        <item x="0"/>
        <item t="default"/>
      </items>
    </pivotField>
    <pivotField showAll="0"/>
    <pivotField showAll="0">
      <items count="91">
        <item x="63"/>
        <item x="25"/>
        <item x="61"/>
        <item x="74"/>
        <item x="6"/>
        <item x="75"/>
        <item x="81"/>
        <item x="23"/>
        <item x="18"/>
        <item x="70"/>
        <item x="37"/>
        <item x="44"/>
        <item x="67"/>
        <item x="26"/>
        <item x="86"/>
        <item x="21"/>
        <item x="83"/>
        <item x="84"/>
        <item x="22"/>
        <item x="57"/>
        <item x="30"/>
        <item x="39"/>
        <item x="59"/>
        <item x="71"/>
        <item x="82"/>
        <item x="89"/>
        <item x="79"/>
        <item x="51"/>
        <item x="53"/>
        <item x="19"/>
        <item x="77"/>
        <item x="78"/>
        <item x="72"/>
        <item x="60"/>
        <item x="24"/>
        <item x="55"/>
        <item x="64"/>
        <item x="3"/>
        <item x="14"/>
        <item x="34"/>
        <item x="17"/>
        <item x="88"/>
        <item x="49"/>
        <item x="80"/>
        <item x="15"/>
        <item x="16"/>
        <item x="69"/>
        <item x="27"/>
        <item x="11"/>
        <item x="68"/>
        <item x="52"/>
        <item x="12"/>
        <item x="4"/>
        <item x="31"/>
        <item x="20"/>
        <item x="85"/>
        <item x="28"/>
        <item x="33"/>
        <item x="40"/>
        <item x="43"/>
        <item x="76"/>
        <item x="5"/>
        <item x="65"/>
        <item x="8"/>
        <item x="45"/>
        <item x="50"/>
        <item x="10"/>
        <item x="32"/>
        <item x="13"/>
        <item x="9"/>
        <item x="29"/>
        <item x="62"/>
        <item x="38"/>
        <item x="66"/>
        <item x="46"/>
        <item x="48"/>
        <item x="42"/>
        <item x="87"/>
        <item x="0"/>
        <item x="1"/>
        <item x="41"/>
        <item x="54"/>
        <item x="58"/>
        <item x="2"/>
        <item x="47"/>
        <item x="35"/>
        <item x="56"/>
        <item x="7"/>
        <item x="73"/>
        <item x="36"/>
        <item t="default"/>
      </items>
    </pivotField>
    <pivotField showAll="0"/>
    <pivotField showAll="0">
      <items count="5">
        <item x="0"/>
        <item x="1"/>
        <item x="3"/>
        <item x="2"/>
        <item t="default"/>
      </items>
    </pivotField>
  </pivotFields>
  <rowFields count="1">
    <field x="2"/>
  </rowFields>
  <rowItems count="3">
    <i>
      <x/>
    </i>
    <i>
      <x v="1"/>
    </i>
    <i t="grand">
      <x/>
    </i>
  </rowItems>
  <colItems count="1">
    <i/>
  </colItems>
  <dataFields count="1">
    <dataField name="Count of name" fld="0" subtotal="count" baseField="0" baseItem="0"/>
  </dataFields>
  <chartFormats count="3">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2" count="1" selected="0">
            <x v="0"/>
          </reference>
        </references>
      </pivotArea>
    </chartFormat>
    <chartFormat chart="32"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ADDC0CB-9D4E-480B-8AF2-FE483CC1DC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ONLINE ORDER">
  <location ref="A10:B13" firstHeaderRow="1" firstDataRow="1" firstDataCol="1"/>
  <pivotFields count="7">
    <pivotField dataField="1" showAll="0">
      <items count="146">
        <item x="18"/>
        <item x="112"/>
        <item x="3"/>
        <item x="132"/>
        <item x="142"/>
        <item x="90"/>
        <item x="136"/>
        <item x="108"/>
        <item x="95"/>
        <item x="54"/>
        <item x="123"/>
        <item x="34"/>
        <item x="46"/>
        <item x="117"/>
        <item x="51"/>
        <item x="67"/>
        <item x="21"/>
        <item x="24"/>
        <item x="11"/>
        <item x="14"/>
        <item x="13"/>
        <item x="111"/>
        <item x="62"/>
        <item x="102"/>
        <item x="15"/>
        <item x="39"/>
        <item x="96"/>
        <item x="87"/>
        <item x="82"/>
        <item x="60"/>
        <item x="119"/>
        <item x="104"/>
        <item x="25"/>
        <item x="50"/>
        <item x="27"/>
        <item x="143"/>
        <item x="137"/>
        <item x="86"/>
        <item x="75"/>
        <item x="110"/>
        <item x="42"/>
        <item x="37"/>
        <item x="33"/>
        <item x="35"/>
        <item x="56"/>
        <item x="101"/>
        <item x="30"/>
        <item x="128"/>
        <item x="53"/>
        <item x="79"/>
        <item x="139"/>
        <item x="59"/>
        <item x="4"/>
        <item x="65"/>
        <item x="107"/>
        <item x="40"/>
        <item x="23"/>
        <item x="43"/>
        <item x="134"/>
        <item x="0"/>
        <item x="61"/>
        <item x="109"/>
        <item x="116"/>
        <item x="63"/>
        <item x="78"/>
        <item x="94"/>
        <item x="115"/>
        <item x="106"/>
        <item x="131"/>
        <item x="98"/>
        <item x="16"/>
        <item x="44"/>
        <item x="76"/>
        <item x="100"/>
        <item x="85"/>
        <item x="114"/>
        <item x="121"/>
        <item x="71"/>
        <item x="99"/>
        <item x="38"/>
        <item x="41"/>
        <item x="88"/>
        <item x="84"/>
        <item x="140"/>
        <item x="125"/>
        <item x="22"/>
        <item x="64"/>
        <item x="92"/>
        <item x="105"/>
        <item x="141"/>
        <item x="118"/>
        <item x="73"/>
        <item x="7"/>
        <item x="32"/>
        <item x="80"/>
        <item x="120"/>
        <item x="8"/>
        <item x="58"/>
        <item x="48"/>
        <item x="97"/>
        <item x="45"/>
        <item x="29"/>
        <item x="127"/>
        <item x="72"/>
        <item x="6"/>
        <item x="52"/>
        <item x="124"/>
        <item x="2"/>
        <item x="26"/>
        <item x="49"/>
        <item x="9"/>
        <item x="122"/>
        <item x="103"/>
        <item x="1"/>
        <item x="70"/>
        <item x="126"/>
        <item x="74"/>
        <item x="135"/>
        <item x="133"/>
        <item x="28"/>
        <item x="66"/>
        <item x="89"/>
        <item x="138"/>
        <item x="130"/>
        <item x="31"/>
        <item x="36"/>
        <item x="17"/>
        <item x="47"/>
        <item x="91"/>
        <item x="129"/>
        <item x="83"/>
        <item x="69"/>
        <item x="12"/>
        <item x="68"/>
        <item x="19"/>
        <item x="5"/>
        <item x="77"/>
        <item x="81"/>
        <item x="93"/>
        <item x="144"/>
        <item x="10"/>
        <item x="55"/>
        <item x="113"/>
        <item x="20"/>
        <item x="57"/>
        <item t="default"/>
      </items>
    </pivotField>
    <pivotField axis="axisRow" showAll="0">
      <items count="3">
        <item x="1"/>
        <item x="0"/>
        <item t="default"/>
      </items>
    </pivotField>
    <pivotField showAll="0">
      <items count="3">
        <item x="1"/>
        <item x="0"/>
        <item t="default"/>
      </items>
    </pivotField>
    <pivotField showAll="0"/>
    <pivotField showAll="0">
      <items count="91">
        <item x="63"/>
        <item x="25"/>
        <item x="61"/>
        <item x="74"/>
        <item x="6"/>
        <item x="75"/>
        <item x="81"/>
        <item x="23"/>
        <item x="18"/>
        <item x="70"/>
        <item x="37"/>
        <item x="44"/>
        <item x="67"/>
        <item x="26"/>
        <item x="86"/>
        <item x="21"/>
        <item x="83"/>
        <item x="84"/>
        <item x="22"/>
        <item x="57"/>
        <item x="30"/>
        <item x="39"/>
        <item x="59"/>
        <item x="71"/>
        <item x="82"/>
        <item x="89"/>
        <item x="79"/>
        <item x="51"/>
        <item x="53"/>
        <item x="19"/>
        <item x="77"/>
        <item x="78"/>
        <item x="72"/>
        <item x="60"/>
        <item x="24"/>
        <item x="55"/>
        <item x="64"/>
        <item x="3"/>
        <item x="14"/>
        <item x="34"/>
        <item x="17"/>
        <item x="88"/>
        <item x="49"/>
        <item x="80"/>
        <item x="15"/>
        <item x="16"/>
        <item x="69"/>
        <item x="27"/>
        <item x="11"/>
        <item x="68"/>
        <item x="52"/>
        <item x="12"/>
        <item x="4"/>
        <item x="31"/>
        <item x="20"/>
        <item x="85"/>
        <item x="28"/>
        <item x="33"/>
        <item x="40"/>
        <item x="43"/>
        <item x="76"/>
        <item x="5"/>
        <item x="65"/>
        <item x="8"/>
        <item x="45"/>
        <item x="50"/>
        <item x="10"/>
        <item x="32"/>
        <item x="13"/>
        <item x="9"/>
        <item x="29"/>
        <item x="62"/>
        <item x="38"/>
        <item x="66"/>
        <item x="46"/>
        <item x="48"/>
        <item x="42"/>
        <item x="87"/>
        <item x="0"/>
        <item x="1"/>
        <item x="41"/>
        <item x="54"/>
        <item x="58"/>
        <item x="2"/>
        <item x="47"/>
        <item x="35"/>
        <item x="56"/>
        <item x="7"/>
        <item x="73"/>
        <item x="36"/>
        <item t="default"/>
      </items>
    </pivotField>
    <pivotField showAll="0"/>
    <pivotField showAll="0">
      <items count="5">
        <item x="0"/>
        <item x="1"/>
        <item x="3"/>
        <item x="2"/>
        <item t="default"/>
      </items>
    </pivotField>
  </pivotFields>
  <rowFields count="1">
    <field x="1"/>
  </rowFields>
  <rowItems count="3">
    <i>
      <x/>
    </i>
    <i>
      <x v="1"/>
    </i>
    <i t="grand">
      <x/>
    </i>
  </rowItems>
  <colItems count="1">
    <i/>
  </colItems>
  <dataFields count="1">
    <dataField name="Count of name" fld="0" subtotal="count" baseField="0" baseItem="0"/>
  </dataFields>
  <chartFormats count="3">
    <chartFormat chart="23" format="4" series="1">
      <pivotArea type="data" outline="0" fieldPosition="0">
        <references count="1">
          <reference field="4294967294" count="1" selected="0">
            <x v="0"/>
          </reference>
        </references>
      </pivotArea>
    </chartFormat>
    <chartFormat chart="23" format="5">
      <pivotArea type="data" outline="0" fieldPosition="0">
        <references count="2">
          <reference field="4294967294" count="1" selected="0">
            <x v="0"/>
          </reference>
          <reference field="1" count="1" selected="0">
            <x v="0"/>
          </reference>
        </references>
      </pivotArea>
    </chartFormat>
    <chartFormat chart="23"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123E62-C273-425C-A500-77485C6CC83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3" firstHeaderRow="1" firstDataRow="1" firstDataCol="1"/>
  <pivotFields count="7">
    <pivotField dataField="1" showAll="0"/>
    <pivotField showAll="0"/>
    <pivotField showAll="0"/>
    <pivotField axis="axisRow" showAll="0">
      <items count="20">
        <item x="17"/>
        <item x="12"/>
        <item x="15"/>
        <item x="9"/>
        <item x="8"/>
        <item x="10"/>
        <item x="11"/>
        <item x="18"/>
        <item x="16"/>
        <item x="3"/>
        <item x="2"/>
        <item x="1"/>
        <item x="7"/>
        <item x="5"/>
        <item x="0"/>
        <item x="6"/>
        <item x="14"/>
        <item x="13"/>
        <item x="4"/>
        <item t="default"/>
      </items>
    </pivotField>
    <pivotField showAll="0"/>
    <pivotField showAll="0"/>
    <pivotField showAll="0"/>
  </pivotFields>
  <rowFields count="1">
    <field x="3"/>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B8297D-CBA8-4223-B891-FBC353FF5210}" autoFormatId="16" applyNumberFormats="0" applyBorderFormats="0" applyFontFormats="0" applyPatternFormats="0" applyAlignmentFormats="0" applyWidthHeightFormats="0">
  <queryTableRefresh nextId="8">
    <queryTableFields count="7">
      <queryTableField id="1" name="name" tableColumnId="1"/>
      <queryTableField id="2" name="online_order" tableColumnId="2"/>
      <queryTableField id="3" name="book_table" tableColumnId="3"/>
      <queryTableField id="4" name="rate" tableColumnId="4"/>
      <queryTableField id="5" name="votes" tableColumnId="5"/>
      <queryTableField id="6" name="approx_cost(for two people)" tableColumnId="6"/>
      <queryTableField id="7" name="listed_in(typ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_table" xr10:uid="{185C2B4F-7881-428B-80BF-20310F6F9121}" sourceName="book_table">
  <pivotTables>
    <pivotTable tabId="4" name="PivotTable1"/>
    <pivotTable tabId="4" name="PivotTable2"/>
    <pivotTable tabId="4" name="PivotTable3"/>
    <pivotTable tabId="4" name="PivotTable4"/>
  </pivotTables>
  <data>
    <tabular pivotCacheId="113902921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tes" xr10:uid="{34238192-BB4F-4464-A9D7-039EA4B0DE5E}" sourceName="votes">
  <pivotTables>
    <pivotTable tabId="4" name="PivotTable1"/>
    <pivotTable tabId="4" name="PivotTable2"/>
    <pivotTable tabId="4" name="PivotTable3"/>
    <pivotTable tabId="4" name="PivotTable4"/>
  </pivotTables>
  <data>
    <tabular pivotCacheId="1139029214">
      <items count="90">
        <i x="63" s="1"/>
        <i x="25" s="1"/>
        <i x="61" s="1"/>
        <i x="74" s="1"/>
        <i x="6" s="1"/>
        <i x="75" s="1"/>
        <i x="81" s="1"/>
        <i x="23" s="1"/>
        <i x="18" s="1"/>
        <i x="70" s="1"/>
        <i x="37" s="1"/>
        <i x="44" s="1"/>
        <i x="67" s="1"/>
        <i x="26" s="1"/>
        <i x="86" s="1"/>
        <i x="21" s="1"/>
        <i x="83" s="1"/>
        <i x="84" s="1"/>
        <i x="22" s="1"/>
        <i x="57" s="1"/>
        <i x="30" s="1"/>
        <i x="39" s="1"/>
        <i x="59" s="1"/>
        <i x="71" s="1"/>
        <i x="82" s="1"/>
        <i x="89" s="1"/>
        <i x="79" s="1"/>
        <i x="51" s="1"/>
        <i x="53" s="1"/>
        <i x="19" s="1"/>
        <i x="77" s="1"/>
        <i x="78" s="1"/>
        <i x="72" s="1"/>
        <i x="60" s="1"/>
        <i x="24" s="1"/>
        <i x="55" s="1"/>
        <i x="64" s="1"/>
        <i x="3" s="1"/>
        <i x="14" s="1"/>
        <i x="34" s="1"/>
        <i x="17" s="1"/>
        <i x="88" s="1"/>
        <i x="49" s="1"/>
        <i x="80" s="1"/>
        <i x="15" s="1"/>
        <i x="16" s="1"/>
        <i x="69" s="1"/>
        <i x="27" s="1"/>
        <i x="11" s="1"/>
        <i x="68" s="1"/>
        <i x="52" s="1"/>
        <i x="12" s="1"/>
        <i x="4" s="1"/>
        <i x="31" s="1"/>
        <i x="20" s="1"/>
        <i x="85" s="1"/>
        <i x="28" s="1"/>
        <i x="33" s="1"/>
        <i x="40" s="1"/>
        <i x="43" s="1"/>
        <i x="76" s="1"/>
        <i x="5" s="1"/>
        <i x="65" s="1"/>
        <i x="8" s="1"/>
        <i x="45" s="1"/>
        <i x="50" s="1"/>
        <i x="10" s="1"/>
        <i x="32" s="1"/>
        <i x="13" s="1"/>
        <i x="9" s="1"/>
        <i x="29" s="1"/>
        <i x="62" s="1"/>
        <i x="38" s="1"/>
        <i x="66" s="1"/>
        <i x="46" s="1"/>
        <i x="48" s="1"/>
        <i x="42" s="1"/>
        <i x="87" s="1"/>
        <i x="0" s="1"/>
        <i x="1" s="1"/>
        <i x="41" s="1"/>
        <i x="54" s="1"/>
        <i x="58" s="1"/>
        <i x="2" s="1"/>
        <i x="47" s="1"/>
        <i x="35" s="1"/>
        <i x="56" s="1"/>
        <i x="7" s="1"/>
        <i x="73" s="1"/>
        <i x="3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sted_in_type" xr10:uid="{34ECCC56-8866-4A39-A0E2-FEA3AA3EE645}" sourceName="listed_in(type)">
  <pivotTables>
    <pivotTable tabId="4" name="PivotTable1"/>
    <pivotTable tabId="4" name="PivotTable2"/>
    <pivotTable tabId="4" name="PivotTable3"/>
    <pivotTable tabId="4" name="PivotTable4"/>
  </pivotTables>
  <data>
    <tabular pivotCacheId="1139029214">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D42906BB-25FB-4282-94D5-48FCD2D8C460}" sourceName="name">
  <pivotTables>
    <pivotTable tabId="4" name="PivotTable7"/>
    <pivotTable tabId="4" name="PivotTable4"/>
    <pivotTable tabId="4" name="PivotTable5"/>
    <pivotTable tabId="4" name="PivotTable6"/>
    <pivotTable tabId="4" name="PivotTable9"/>
    <pivotTable tabId="4" name="PivotTable8"/>
    <pivotTable tabId="4" name="PivotTable11"/>
    <pivotTable tabId="4" name="PivotTable14"/>
    <pivotTable tabId="4" name="PivotTable15"/>
  </pivotTables>
  <data>
    <tabular pivotCacheId="1139029214">
      <items count="145">
        <i x="18" s="1"/>
        <i x="112" s="1"/>
        <i x="3" s="1"/>
        <i x="132" s="1"/>
        <i x="142" s="1"/>
        <i x="90" s="1"/>
        <i x="136" s="1"/>
        <i x="108" s="1"/>
        <i x="95" s="1"/>
        <i x="54" s="1"/>
        <i x="123" s="1"/>
        <i x="34" s="1"/>
        <i x="46" s="1"/>
        <i x="117" s="1"/>
        <i x="51" s="1"/>
        <i x="67" s="1"/>
        <i x="21" s="1"/>
        <i x="24" s="1"/>
        <i x="11" s="1"/>
        <i x="14" s="1"/>
        <i x="13" s="1"/>
        <i x="111" s="1"/>
        <i x="62" s="1"/>
        <i x="102" s="1"/>
        <i x="15" s="1"/>
        <i x="39" s="1"/>
        <i x="96" s="1"/>
        <i x="87" s="1"/>
        <i x="82" s="1"/>
        <i x="60" s="1"/>
        <i x="119" s="1"/>
        <i x="104" s="1"/>
        <i x="25" s="1"/>
        <i x="50" s="1"/>
        <i x="27" s="1"/>
        <i x="143" s="1"/>
        <i x="137" s="1"/>
        <i x="86" s="1"/>
        <i x="75" s="1"/>
        <i x="110" s="1"/>
        <i x="42" s="1"/>
        <i x="37" s="1"/>
        <i x="33" s="1"/>
        <i x="35" s="1"/>
        <i x="56" s="1"/>
        <i x="101" s="1"/>
        <i x="30" s="1"/>
        <i x="128" s="1"/>
        <i x="53" s="1"/>
        <i x="79" s="1"/>
        <i x="139" s="1"/>
        <i x="59" s="1"/>
        <i x="4" s="1"/>
        <i x="65" s="1"/>
        <i x="107" s="1"/>
        <i x="40" s="1"/>
        <i x="23" s="1"/>
        <i x="43" s="1"/>
        <i x="134" s="1"/>
        <i x="0" s="1"/>
        <i x="61" s="1"/>
        <i x="109" s="1"/>
        <i x="116" s="1"/>
        <i x="63" s="1"/>
        <i x="78" s="1"/>
        <i x="94" s="1"/>
        <i x="115" s="1"/>
        <i x="106" s="1"/>
        <i x="131" s="1"/>
        <i x="98" s="1"/>
        <i x="16" s="1"/>
        <i x="44" s="1"/>
        <i x="76" s="1"/>
        <i x="100" s="1"/>
        <i x="85" s="1"/>
        <i x="114" s="1"/>
        <i x="121" s="1"/>
        <i x="71" s="1"/>
        <i x="99" s="1"/>
        <i x="38" s="1"/>
        <i x="41" s="1"/>
        <i x="88" s="1"/>
        <i x="84" s="1"/>
        <i x="140" s="1"/>
        <i x="125" s="1"/>
        <i x="22" s="1"/>
        <i x="64" s="1"/>
        <i x="92" s="1"/>
        <i x="105" s="1"/>
        <i x="141" s="1"/>
        <i x="118" s="1"/>
        <i x="73" s="1"/>
        <i x="7" s="1"/>
        <i x="32" s="1"/>
        <i x="80" s="1"/>
        <i x="120" s="1"/>
        <i x="8" s="1"/>
        <i x="58" s="1"/>
        <i x="48" s="1"/>
        <i x="97" s="1"/>
        <i x="45" s="1"/>
        <i x="29" s="1"/>
        <i x="127" s="1"/>
        <i x="72" s="1"/>
        <i x="6" s="1"/>
        <i x="52" s="1"/>
        <i x="124" s="1"/>
        <i x="2" s="1"/>
        <i x="26" s="1"/>
        <i x="49" s="1"/>
        <i x="9" s="1"/>
        <i x="122" s="1"/>
        <i x="103" s="1"/>
        <i x="1" s="1"/>
        <i x="70" s="1"/>
        <i x="126" s="1"/>
        <i x="74" s="1"/>
        <i x="135" s="1"/>
        <i x="133" s="1"/>
        <i x="28" s="1"/>
        <i x="66" s="1"/>
        <i x="89" s="1"/>
        <i x="138" s="1"/>
        <i x="130" s="1"/>
        <i x="31" s="1"/>
        <i x="36" s="1"/>
        <i x="17" s="1"/>
        <i x="47" s="1"/>
        <i x="91" s="1"/>
        <i x="129" s="1"/>
        <i x="83" s="1"/>
        <i x="69" s="1"/>
        <i x="12" s="1"/>
        <i x="68" s="1"/>
        <i x="19" s="1"/>
        <i x="5" s="1"/>
        <i x="77" s="1"/>
        <i x="81" s="1"/>
        <i x="93" s="1"/>
        <i x="144" s="1"/>
        <i x="10" s="1"/>
        <i x="55" s="1"/>
        <i x="113" s="1"/>
        <i x="20" s="1"/>
        <i x="5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_order" xr10:uid="{62F58F6B-C277-4165-9774-3D31CC055693}" sourceName="online_order">
  <pivotTables>
    <pivotTable tabId="4" name="PivotTable7"/>
    <pivotTable tabId="4" name="PivotTable5"/>
    <pivotTable tabId="4" name="PivotTable6"/>
    <pivotTable tabId="4" name="PivotTable9"/>
    <pivotTable tabId="4" name="PivotTable8"/>
    <pivotTable tabId="4" name="PivotTable11"/>
    <pivotTable tabId="4" name="PivotTable14"/>
    <pivotTable tabId="4" name="PivotTable15"/>
  </pivotTables>
  <data>
    <tabular pivotCacheId="1139029214">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sted_in_type1" xr10:uid="{460E8E79-EB67-4EF7-9480-1F85AFAD5AEC}" sourceName="listed_in(type)">
  <pivotTables>
    <pivotTable tabId="4" name="PivotTable7"/>
    <pivotTable tabId="4" name="PivotTable5"/>
    <pivotTable tabId="4" name="PivotTable6"/>
    <pivotTable tabId="4" name="PivotTable9"/>
    <pivotTable tabId="4" name="PivotTable8"/>
    <pivotTable tabId="4" name="PivotTable11"/>
    <pivotTable tabId="4" name="PivotTable14"/>
    <pivotTable tabId="4" name="PivotTable15"/>
  </pivotTables>
  <data>
    <tabular pivotCacheId="1139029214">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1" xr10:uid="{633DF956-E01A-4130-A4CB-2FA1EEFEE59D}" cache="Slicer_name" caption="name" style="SlicerStyleDark2" rowHeight="241300"/>
  <slicer name="online_order 1" xr10:uid="{3629A84B-3583-4561-9716-C55C653816D6}" cache="Slicer_online_order" caption="online_order" style="SlicerStyleDark2" rowHeight="241300"/>
  <slicer name="listed_in(type) 2" xr10:uid="{3119E8BE-82B3-4867-A130-147FF7CD1EEA}" cache="Slicer_listed_in_type1" caption="listed_in(type)"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_table 1" xr10:uid="{D6A7B408-1ADD-43C5-92F0-165438063C96}" cache="Slicer_book_table" caption="book_table" style="SlicerStyleDark2" rowHeight="241300"/>
  <slicer name="votes 1" xr10:uid="{872ED548-2C0E-4BFF-ADE8-05462D19541B}" cache="Slicer_votes" caption="votes" style="SlicerStyleDark2" rowHeight="241300"/>
  <slicer name="listed_in(type) 1" xr10:uid="{213CD8D1-55FB-47A8-A51C-2D2ABF9A0825}" cache="Slicer_listed_in_type" caption="listed_in(type)"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E4116F-CD66-45C9-B26B-CC0A37AEB8FB}" name="Zomato_data" displayName="Zomato_data" ref="A1:G149" tableType="queryTable" totalsRowShown="0">
  <autoFilter ref="A1:G149" xr:uid="{00E4116F-CD66-45C9-B26B-CC0A37AEB8FB}"/>
  <tableColumns count="7">
    <tableColumn id="1" xr3:uid="{0E9A6083-6A53-4829-9763-D3F93E456B75}" uniqueName="1" name="name" queryTableFieldId="1" dataDxfId="4"/>
    <tableColumn id="2" xr3:uid="{5DE59EA8-F245-493E-AC26-539C01DA44A2}" uniqueName="2" name="online_order" queryTableFieldId="2" dataDxfId="3"/>
    <tableColumn id="3" xr3:uid="{A58ED69F-EBB3-428E-A9CA-8503688562A4}" uniqueName="3" name="book_table" queryTableFieldId="3" dataDxfId="2"/>
    <tableColumn id="4" xr3:uid="{C8F0C52E-B83B-423B-A5CB-5CAEFFDC51AB}" uniqueName="4" name="rate" queryTableFieldId="4" dataDxfId="1"/>
    <tableColumn id="5" xr3:uid="{745E3257-91E1-4A1E-A6C2-A89599506404}" uniqueName="5" name="votes" queryTableFieldId="5"/>
    <tableColumn id="6" xr3:uid="{8ECE1C3C-21E2-4E55-A006-E99BD3F0EACF}" uniqueName="6" name="approx_cost(for two people)" queryTableFieldId="6"/>
    <tableColumn id="7" xr3:uid="{4FFE1A09-463A-48D3-A61A-422465A61DE4}" uniqueName="7" name="listed_in(type)" queryTableFieldId="7"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2082C4-55D0-4246-994A-C46A5B288740}" name="Table2" displayName="Table2" ref="I4:I14" totalsRowCount="1">
  <autoFilter ref="I4:I13" xr:uid="{F42082C4-55D0-4246-994A-C46A5B288740}"/>
  <tableColumns count="1">
    <tableColumn id="1" xr3:uid="{1687753E-6152-4073-A5EB-6759324FCEF9}" name="Total Restuarent "/>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2CFF3-DA1C-42E1-A4B8-09F4BECC13B8}">
  <dimension ref="A1:P31"/>
  <sheetViews>
    <sheetView zoomScale="62" zoomScaleNormal="62" workbookViewId="0">
      <selection activeCell="L13" sqref="L13"/>
    </sheetView>
  </sheetViews>
  <sheetFormatPr defaultRowHeight="15" x14ac:dyDescent="0.25"/>
  <cols>
    <col min="1" max="1" width="16.42578125" bestFit="1" customWidth="1"/>
    <col min="2" max="2" width="14.140625" bestFit="1" customWidth="1"/>
    <col min="4" max="4" width="23" bestFit="1" customWidth="1"/>
    <col min="5" max="5" width="14.7109375" bestFit="1" customWidth="1"/>
    <col min="7" max="7" width="23" bestFit="1" customWidth="1"/>
    <col min="8" max="8" width="12.42578125" bestFit="1" customWidth="1"/>
    <col min="9" max="9" width="3.5703125" customWidth="1"/>
    <col min="10" max="10" width="25" bestFit="1" customWidth="1"/>
    <col min="11" max="11" width="50.5703125" bestFit="1" customWidth="1"/>
    <col min="12" max="12" width="28.42578125" bestFit="1" customWidth="1"/>
    <col min="13" max="13" width="19.42578125" bestFit="1" customWidth="1"/>
    <col min="14" max="14" width="23.140625" bestFit="1" customWidth="1"/>
    <col min="15" max="15" width="6.42578125" bestFit="1" customWidth="1"/>
    <col min="16" max="16" width="16" bestFit="1" customWidth="1"/>
    <col min="17" max="19" width="3.42578125" bestFit="1" customWidth="1"/>
    <col min="20" max="55" width="4.7109375" bestFit="1" customWidth="1"/>
    <col min="56" max="97" width="6.140625" bestFit="1" customWidth="1"/>
    <col min="98" max="103" width="7.5703125" bestFit="1" customWidth="1"/>
    <col min="104" max="104" width="16" bestFit="1" customWidth="1"/>
  </cols>
  <sheetData>
    <row r="1" spans="1:16" x14ac:dyDescent="0.25">
      <c r="J1" s="1" t="s">
        <v>171</v>
      </c>
      <c r="K1" t="s">
        <v>168</v>
      </c>
    </row>
    <row r="2" spans="1:16" x14ac:dyDescent="0.25">
      <c r="J2" s="2" t="s">
        <v>9</v>
      </c>
      <c r="K2" s="3">
        <v>3.842857142857143</v>
      </c>
      <c r="M2" s="1" t="s">
        <v>162</v>
      </c>
      <c r="N2" s="1" t="s">
        <v>173</v>
      </c>
    </row>
    <row r="3" spans="1:16" x14ac:dyDescent="0.25">
      <c r="A3" s="1" t="s">
        <v>165</v>
      </c>
      <c r="B3" t="s">
        <v>162</v>
      </c>
      <c r="D3" s="1" t="s">
        <v>165</v>
      </c>
      <c r="E3" t="s">
        <v>168</v>
      </c>
      <c r="J3" s="2" t="s">
        <v>18</v>
      </c>
      <c r="K3" s="3">
        <v>3.7652173913043474</v>
      </c>
      <c r="M3" s="1" t="s">
        <v>174</v>
      </c>
      <c r="N3" t="s">
        <v>11</v>
      </c>
      <c r="O3" t="s">
        <v>8</v>
      </c>
      <c r="P3" t="s">
        <v>163</v>
      </c>
    </row>
    <row r="4" spans="1:16" x14ac:dyDescent="0.25">
      <c r="A4" s="2" t="s">
        <v>44</v>
      </c>
      <c r="B4">
        <v>110</v>
      </c>
      <c r="D4" s="2" t="s">
        <v>20</v>
      </c>
      <c r="E4" s="3">
        <v>3.9124999999999996</v>
      </c>
      <c r="J4" s="2" t="s">
        <v>44</v>
      </c>
      <c r="K4" s="3">
        <v>3.5718181818181796</v>
      </c>
      <c r="M4" s="2" t="s">
        <v>11</v>
      </c>
      <c r="N4" s="4">
        <v>89</v>
      </c>
      <c r="O4" s="4">
        <v>1</v>
      </c>
      <c r="P4" s="4">
        <v>90</v>
      </c>
    </row>
    <row r="5" spans="1:16" x14ac:dyDescent="0.25">
      <c r="A5" s="2" t="s">
        <v>18</v>
      </c>
      <c r="B5">
        <v>23</v>
      </c>
      <c r="D5" s="2" t="s">
        <v>9</v>
      </c>
      <c r="E5" s="3">
        <v>3.842857142857143</v>
      </c>
      <c r="J5" s="2" t="s">
        <v>20</v>
      </c>
      <c r="K5" s="3">
        <v>3.9124999999999996</v>
      </c>
      <c r="M5" s="2" t="s">
        <v>8</v>
      </c>
      <c r="N5" s="4">
        <v>51</v>
      </c>
      <c r="O5" s="4">
        <v>7</v>
      </c>
      <c r="P5" s="4">
        <v>58</v>
      </c>
    </row>
    <row r="6" spans="1:16" x14ac:dyDescent="0.25">
      <c r="A6" s="2" t="s">
        <v>20</v>
      </c>
      <c r="B6">
        <v>8</v>
      </c>
      <c r="D6" s="2" t="s">
        <v>18</v>
      </c>
      <c r="E6" s="3">
        <v>3.7652173913043474</v>
      </c>
      <c r="J6" s="2" t="s">
        <v>163</v>
      </c>
      <c r="K6" s="3">
        <v>3.6331081081081078</v>
      </c>
      <c r="M6" s="2" t="s">
        <v>163</v>
      </c>
      <c r="N6" s="4">
        <v>140</v>
      </c>
      <c r="O6" s="4">
        <v>8</v>
      </c>
      <c r="P6" s="4">
        <v>148</v>
      </c>
    </row>
    <row r="7" spans="1:16" x14ac:dyDescent="0.25">
      <c r="A7" s="2" t="s">
        <v>9</v>
      </c>
      <c r="B7">
        <v>7</v>
      </c>
      <c r="D7" s="2" t="s">
        <v>44</v>
      </c>
      <c r="E7" s="3">
        <v>3.5718181818181796</v>
      </c>
    </row>
    <row r="8" spans="1:16" x14ac:dyDescent="0.25">
      <c r="A8" s="2" t="s">
        <v>163</v>
      </c>
      <c r="B8">
        <v>148</v>
      </c>
      <c r="D8" s="2" t="s">
        <v>163</v>
      </c>
      <c r="E8" s="3">
        <v>3.6331081081081078</v>
      </c>
    </row>
    <row r="10" spans="1:16" x14ac:dyDescent="0.25">
      <c r="A10" s="1" t="s">
        <v>166</v>
      </c>
      <c r="B10" t="s">
        <v>162</v>
      </c>
      <c r="J10" s="1" t="s">
        <v>171</v>
      </c>
      <c r="K10" t="s">
        <v>169</v>
      </c>
    </row>
    <row r="11" spans="1:16" x14ac:dyDescent="0.25">
      <c r="A11" s="2" t="s">
        <v>11</v>
      </c>
      <c r="B11">
        <v>90</v>
      </c>
      <c r="D11" s="1" t="s">
        <v>170</v>
      </c>
      <c r="E11" t="s">
        <v>168</v>
      </c>
      <c r="G11" s="1" t="s">
        <v>170</v>
      </c>
      <c r="H11" t="s">
        <v>164</v>
      </c>
      <c r="J11" s="2" t="s">
        <v>9</v>
      </c>
      <c r="K11" s="3">
        <v>671.42857142857144</v>
      </c>
    </row>
    <row r="12" spans="1:16" x14ac:dyDescent="0.25">
      <c r="A12" s="2" t="s">
        <v>8</v>
      </c>
      <c r="B12">
        <v>58</v>
      </c>
      <c r="D12" s="2" t="s">
        <v>17</v>
      </c>
      <c r="E12">
        <v>4.5999999999999996</v>
      </c>
      <c r="G12" s="2" t="s">
        <v>17</v>
      </c>
      <c r="H12">
        <v>5112</v>
      </c>
      <c r="J12" s="2" t="s">
        <v>18</v>
      </c>
      <c r="K12" s="3">
        <v>545.6521739130435</v>
      </c>
    </row>
    <row r="13" spans="1:16" x14ac:dyDescent="0.25">
      <c r="A13" s="2" t="s">
        <v>163</v>
      </c>
      <c r="B13">
        <v>148</v>
      </c>
      <c r="D13" s="2" t="s">
        <v>50</v>
      </c>
      <c r="E13">
        <v>4.4000000000000004</v>
      </c>
      <c r="G13" s="2" t="s">
        <v>50</v>
      </c>
      <c r="H13">
        <v>4884</v>
      </c>
      <c r="J13" s="2" t="s">
        <v>44</v>
      </c>
      <c r="K13" s="3">
        <v>357.27272727272725</v>
      </c>
    </row>
    <row r="14" spans="1:16" x14ac:dyDescent="0.25">
      <c r="D14" s="2" t="s">
        <v>97</v>
      </c>
      <c r="E14">
        <v>4.4000000000000004</v>
      </c>
      <c r="G14" s="2" t="s">
        <v>97</v>
      </c>
      <c r="H14">
        <v>4401</v>
      </c>
      <c r="J14" s="2" t="s">
        <v>20</v>
      </c>
      <c r="K14" s="3">
        <v>668.75</v>
      </c>
      <c r="M14" s="1" t="s">
        <v>162</v>
      </c>
      <c r="N14" s="1" t="s">
        <v>173</v>
      </c>
    </row>
    <row r="15" spans="1:16" x14ac:dyDescent="0.25">
      <c r="A15" s="1" t="s">
        <v>167</v>
      </c>
      <c r="B15" t="s">
        <v>162</v>
      </c>
      <c r="D15" s="2" t="s">
        <v>63</v>
      </c>
      <c r="E15">
        <v>4.3</v>
      </c>
      <c r="G15" s="2" t="s">
        <v>12</v>
      </c>
      <c r="H15">
        <v>1836</v>
      </c>
      <c r="J15" s="2" t="s">
        <v>163</v>
      </c>
      <c r="K15" s="3">
        <v>418.24324324324323</v>
      </c>
      <c r="M15" s="1" t="s">
        <v>174</v>
      </c>
      <c r="N15" t="s">
        <v>11</v>
      </c>
      <c r="O15" t="s">
        <v>8</v>
      </c>
      <c r="P15" t="s">
        <v>163</v>
      </c>
    </row>
    <row r="16" spans="1:16" x14ac:dyDescent="0.25">
      <c r="A16" s="2" t="s">
        <v>11</v>
      </c>
      <c r="B16">
        <v>140</v>
      </c>
      <c r="D16" s="2" t="s">
        <v>92</v>
      </c>
      <c r="E16">
        <v>4.2</v>
      </c>
      <c r="G16" s="2" t="s">
        <v>76</v>
      </c>
      <c r="H16">
        <v>1720</v>
      </c>
      <c r="M16" s="2" t="s">
        <v>9</v>
      </c>
      <c r="N16" s="4">
        <v>3</v>
      </c>
      <c r="O16" s="4">
        <v>4</v>
      </c>
      <c r="P16" s="4">
        <v>7</v>
      </c>
    </row>
    <row r="17" spans="1:16" x14ac:dyDescent="0.25">
      <c r="A17" s="2" t="s">
        <v>8</v>
      </c>
      <c r="B17">
        <v>8</v>
      </c>
      <c r="D17" s="2" t="s">
        <v>49</v>
      </c>
      <c r="E17">
        <v>4.2</v>
      </c>
      <c r="G17" s="2" t="s">
        <v>49</v>
      </c>
      <c r="H17">
        <v>1647</v>
      </c>
      <c r="M17" s="2" t="s">
        <v>18</v>
      </c>
      <c r="N17" s="4">
        <v>8</v>
      </c>
      <c r="O17" s="4">
        <v>15</v>
      </c>
      <c r="P17" s="4">
        <v>23</v>
      </c>
    </row>
    <row r="18" spans="1:16" x14ac:dyDescent="0.25">
      <c r="A18" s="2" t="s">
        <v>163</v>
      </c>
      <c r="B18">
        <v>148</v>
      </c>
      <c r="D18" s="2" t="s">
        <v>21</v>
      </c>
      <c r="E18">
        <v>4.2</v>
      </c>
      <c r="G18" s="2" t="s">
        <v>65</v>
      </c>
      <c r="H18">
        <v>1047</v>
      </c>
      <c r="M18" s="2" t="s">
        <v>44</v>
      </c>
      <c r="N18" s="4">
        <v>77</v>
      </c>
      <c r="O18" s="4">
        <v>33</v>
      </c>
      <c r="P18" s="4">
        <v>110</v>
      </c>
    </row>
    <row r="19" spans="1:16" x14ac:dyDescent="0.25">
      <c r="D19" s="2" t="s">
        <v>23</v>
      </c>
      <c r="E19">
        <v>4.2</v>
      </c>
      <c r="G19" s="2" t="s">
        <v>78</v>
      </c>
      <c r="H19">
        <v>868</v>
      </c>
      <c r="M19" s="2" t="s">
        <v>20</v>
      </c>
      <c r="N19" s="4">
        <v>2</v>
      </c>
      <c r="O19" s="4">
        <v>6</v>
      </c>
      <c r="P19" s="4">
        <v>8</v>
      </c>
    </row>
    <row r="20" spans="1:16" x14ac:dyDescent="0.25">
      <c r="D20" s="2" t="s">
        <v>24</v>
      </c>
      <c r="E20">
        <v>4.2</v>
      </c>
      <c r="G20" s="2" t="s">
        <v>74</v>
      </c>
      <c r="H20">
        <v>808</v>
      </c>
      <c r="M20" s="2" t="s">
        <v>163</v>
      </c>
      <c r="N20" s="4">
        <v>90</v>
      </c>
      <c r="O20" s="4">
        <v>58</v>
      </c>
      <c r="P20" s="4">
        <v>148</v>
      </c>
    </row>
    <row r="21" spans="1:16" x14ac:dyDescent="0.25">
      <c r="D21" s="2" t="s">
        <v>68</v>
      </c>
      <c r="E21">
        <v>4.2</v>
      </c>
      <c r="G21" s="2" t="s">
        <v>58</v>
      </c>
      <c r="H21">
        <v>804</v>
      </c>
    </row>
    <row r="22" spans="1:16" x14ac:dyDescent="0.25">
      <c r="D22" s="2" t="s">
        <v>46</v>
      </c>
      <c r="E22">
        <v>4.2</v>
      </c>
      <c r="G22" s="2" t="s">
        <v>163</v>
      </c>
      <c r="H22">
        <v>23127</v>
      </c>
      <c r="J22" s="1" t="s">
        <v>166</v>
      </c>
      <c r="K22" t="s">
        <v>169</v>
      </c>
    </row>
    <row r="23" spans="1:16" x14ac:dyDescent="0.25">
      <c r="D23" s="2" t="s">
        <v>71</v>
      </c>
      <c r="E23">
        <v>4.2</v>
      </c>
      <c r="J23" s="2" t="s">
        <v>11</v>
      </c>
      <c r="K23" s="3">
        <v>358.88888888888891</v>
      </c>
    </row>
    <row r="24" spans="1:16" x14ac:dyDescent="0.25">
      <c r="D24" s="2" t="s">
        <v>163</v>
      </c>
      <c r="E24">
        <v>4.3000000000000016</v>
      </c>
      <c r="J24" s="2" t="s">
        <v>8</v>
      </c>
      <c r="K24" s="3">
        <v>510.34482758620692</v>
      </c>
    </row>
    <row r="25" spans="1:16" x14ac:dyDescent="0.25">
      <c r="J25" s="2" t="s">
        <v>163</v>
      </c>
      <c r="K25" s="3">
        <v>418.24324324324323</v>
      </c>
    </row>
    <row r="28" spans="1:16" x14ac:dyDescent="0.25">
      <c r="J28" s="1" t="s">
        <v>166</v>
      </c>
      <c r="K28" t="s">
        <v>169</v>
      </c>
    </row>
    <row r="29" spans="1:16" x14ac:dyDescent="0.25">
      <c r="J29" s="2" t="s">
        <v>11</v>
      </c>
      <c r="K29" s="3">
        <v>402.5</v>
      </c>
    </row>
    <row r="30" spans="1:16" x14ac:dyDescent="0.25">
      <c r="J30" s="2" t="s">
        <v>8</v>
      </c>
      <c r="K30" s="3">
        <v>693.75</v>
      </c>
    </row>
    <row r="31" spans="1:16" x14ac:dyDescent="0.25">
      <c r="J31" s="2" t="s">
        <v>163</v>
      </c>
      <c r="K31" s="3">
        <v>418.24324324324323</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CA227-550B-40FD-9742-79EF35459E3C}">
  <dimension ref="A1"/>
  <sheetViews>
    <sheetView tabSelected="1" topLeftCell="A14" workbookViewId="0">
      <selection activeCell="S24" sqref="S24"/>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6F575-2299-49B5-8F44-8BE50B558169}">
  <dimension ref="A1"/>
  <sheetViews>
    <sheetView zoomScale="75" zoomScaleNormal="75" workbookViewId="0">
      <selection activeCell="S16" sqref="S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65788-45D3-4F89-A555-8F025300CABD}">
  <dimension ref="A1"/>
  <sheetViews>
    <sheetView topLeftCell="A6" zoomScale="46" zoomScaleNormal="46" workbookViewId="0">
      <selection activeCell="Y7" sqref="Y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214D9-B134-406F-95F5-EE86B62C5865}">
  <dimension ref="A3:B23"/>
  <sheetViews>
    <sheetView topLeftCell="A7" workbookViewId="0">
      <selection activeCell="A3" sqref="A3:B23"/>
    </sheetView>
  </sheetViews>
  <sheetFormatPr defaultRowHeight="15" x14ac:dyDescent="0.25"/>
  <cols>
    <col min="1" max="1" width="13.140625" bestFit="1" customWidth="1"/>
    <col min="2" max="2" width="14.140625" bestFit="1" customWidth="1"/>
  </cols>
  <sheetData>
    <row r="3" spans="1:2" x14ac:dyDescent="0.25">
      <c r="A3" s="1" t="s">
        <v>172</v>
      </c>
      <c r="B3" t="s">
        <v>162</v>
      </c>
    </row>
    <row r="4" spans="1:2" x14ac:dyDescent="0.25">
      <c r="A4" s="2">
        <v>2.6</v>
      </c>
      <c r="B4">
        <v>1</v>
      </c>
    </row>
    <row r="5" spans="1:2" x14ac:dyDescent="0.25">
      <c r="A5" s="2">
        <v>2.8</v>
      </c>
      <c r="B5">
        <v>2</v>
      </c>
    </row>
    <row r="6" spans="1:2" x14ac:dyDescent="0.25">
      <c r="A6" s="2">
        <v>2.9</v>
      </c>
      <c r="B6">
        <v>7</v>
      </c>
    </row>
    <row r="7" spans="1:2" x14ac:dyDescent="0.25">
      <c r="A7" s="2">
        <v>3</v>
      </c>
      <c r="B7">
        <v>2</v>
      </c>
    </row>
    <row r="8" spans="1:2" x14ac:dyDescent="0.25">
      <c r="A8" s="2">
        <v>3.1</v>
      </c>
      <c r="B8">
        <v>7</v>
      </c>
    </row>
    <row r="9" spans="1:2" x14ac:dyDescent="0.25">
      <c r="A9" s="2">
        <v>3.2</v>
      </c>
      <c r="B9">
        <v>7</v>
      </c>
    </row>
    <row r="10" spans="1:2" x14ac:dyDescent="0.25">
      <c r="A10" s="2">
        <v>3.3</v>
      </c>
      <c r="B10">
        <v>14</v>
      </c>
    </row>
    <row r="11" spans="1:2" x14ac:dyDescent="0.25">
      <c r="A11" s="2">
        <v>3.4</v>
      </c>
      <c r="B11">
        <v>12</v>
      </c>
    </row>
    <row r="12" spans="1:2" x14ac:dyDescent="0.25">
      <c r="A12" s="2">
        <v>3.5</v>
      </c>
      <c r="B12">
        <v>6</v>
      </c>
    </row>
    <row r="13" spans="1:2" x14ac:dyDescent="0.25">
      <c r="A13" s="2">
        <v>3.6</v>
      </c>
      <c r="B13">
        <v>11</v>
      </c>
    </row>
    <row r="14" spans="1:2" x14ac:dyDescent="0.25">
      <c r="A14" s="2">
        <v>3.7</v>
      </c>
      <c r="B14">
        <v>15</v>
      </c>
    </row>
    <row r="15" spans="1:2" x14ac:dyDescent="0.25">
      <c r="A15" s="2">
        <v>3.8</v>
      </c>
      <c r="B15">
        <v>20</v>
      </c>
    </row>
    <row r="16" spans="1:2" x14ac:dyDescent="0.25">
      <c r="A16" s="2">
        <v>3.9</v>
      </c>
      <c r="B16">
        <v>10</v>
      </c>
    </row>
    <row r="17" spans="1:2" x14ac:dyDescent="0.25">
      <c r="A17" s="2">
        <v>4</v>
      </c>
      <c r="B17">
        <v>10</v>
      </c>
    </row>
    <row r="18" spans="1:2" x14ac:dyDescent="0.25">
      <c r="A18" s="2">
        <v>4.0999999999999996</v>
      </c>
      <c r="B18">
        <v>11</v>
      </c>
    </row>
    <row r="19" spans="1:2" x14ac:dyDescent="0.25">
      <c r="A19" s="2">
        <v>4.2</v>
      </c>
      <c r="B19">
        <v>8</v>
      </c>
    </row>
    <row r="20" spans="1:2" x14ac:dyDescent="0.25">
      <c r="A20" s="2">
        <v>4.3</v>
      </c>
      <c r="B20">
        <v>1</v>
      </c>
    </row>
    <row r="21" spans="1:2" x14ac:dyDescent="0.25">
      <c r="A21" s="2">
        <v>4.4000000000000004</v>
      </c>
      <c r="B21">
        <v>2</v>
      </c>
    </row>
    <row r="22" spans="1:2" x14ac:dyDescent="0.25">
      <c r="A22" s="2">
        <v>4.5999999999999996</v>
      </c>
      <c r="B22">
        <v>2</v>
      </c>
    </row>
    <row r="23" spans="1:2" x14ac:dyDescent="0.25">
      <c r="A23" s="2" t="s">
        <v>163</v>
      </c>
      <c r="B23">
        <v>148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7C6AA-933D-4612-8FE2-820D1E1701B1}">
  <dimension ref="A1:I149"/>
  <sheetViews>
    <sheetView workbookViewId="0">
      <selection activeCell="F17" sqref="F17"/>
    </sheetView>
  </sheetViews>
  <sheetFormatPr defaultRowHeight="15" x14ac:dyDescent="0.25"/>
  <cols>
    <col min="1" max="1" width="45" bestFit="1" customWidth="1"/>
    <col min="2" max="2" width="14.85546875" bestFit="1" customWidth="1"/>
    <col min="3" max="3" width="13.28515625" bestFit="1" customWidth="1"/>
    <col min="4" max="4" width="6.85546875" bestFit="1" customWidth="1"/>
    <col min="5" max="5" width="8.140625" bestFit="1" customWidth="1"/>
    <col min="6" max="6" width="29.140625" bestFit="1" customWidth="1"/>
    <col min="7" max="7" width="16.5703125" bestFit="1" customWidth="1"/>
    <col min="9" max="9" width="20.42578125" customWidth="1"/>
  </cols>
  <sheetData>
    <row r="1" spans="1:9" x14ac:dyDescent="0.25">
      <c r="A1" t="s">
        <v>0</v>
      </c>
      <c r="B1" t="s">
        <v>1</v>
      </c>
      <c r="C1" t="s">
        <v>2</v>
      </c>
      <c r="D1" t="s">
        <v>3</v>
      </c>
      <c r="E1" t="s">
        <v>4</v>
      </c>
      <c r="F1" t="s">
        <v>5</v>
      </c>
      <c r="G1" t="s">
        <v>6</v>
      </c>
    </row>
    <row r="2" spans="1:9" x14ac:dyDescent="0.25">
      <c r="A2" t="s">
        <v>7</v>
      </c>
      <c r="B2" t="s">
        <v>8</v>
      </c>
      <c r="C2" t="s">
        <v>8</v>
      </c>
      <c r="D2">
        <v>4.0999999999999996</v>
      </c>
      <c r="E2">
        <v>775</v>
      </c>
      <c r="F2">
        <v>800</v>
      </c>
      <c r="G2" t="s">
        <v>9</v>
      </c>
    </row>
    <row r="3" spans="1:9" x14ac:dyDescent="0.25">
      <c r="A3" t="s">
        <v>10</v>
      </c>
      <c r="B3" t="s">
        <v>8</v>
      </c>
      <c r="C3" t="s">
        <v>11</v>
      </c>
      <c r="D3">
        <v>4.0999999999999996</v>
      </c>
      <c r="E3">
        <v>787</v>
      </c>
      <c r="F3">
        <v>800</v>
      </c>
      <c r="G3" t="s">
        <v>9</v>
      </c>
    </row>
    <row r="4" spans="1:9" x14ac:dyDescent="0.25">
      <c r="A4" t="s">
        <v>12</v>
      </c>
      <c r="B4" t="s">
        <v>8</v>
      </c>
      <c r="C4" t="s">
        <v>11</v>
      </c>
      <c r="D4">
        <v>3.8</v>
      </c>
      <c r="E4">
        <v>918</v>
      </c>
      <c r="F4">
        <v>800</v>
      </c>
      <c r="G4" t="s">
        <v>9</v>
      </c>
      <c r="I4" t="s">
        <v>158</v>
      </c>
    </row>
    <row r="5" spans="1:9" x14ac:dyDescent="0.25">
      <c r="A5" t="s">
        <v>13</v>
      </c>
      <c r="B5" t="s">
        <v>11</v>
      </c>
      <c r="C5" t="s">
        <v>11</v>
      </c>
      <c r="D5">
        <v>3.7</v>
      </c>
      <c r="E5">
        <v>88</v>
      </c>
      <c r="F5">
        <v>300</v>
      </c>
      <c r="G5" t="s">
        <v>9</v>
      </c>
      <c r="I5">
        <f>COUNTA(A2:A149)</f>
        <v>148</v>
      </c>
    </row>
    <row r="6" spans="1:9" x14ac:dyDescent="0.25">
      <c r="A6" t="s">
        <v>14</v>
      </c>
      <c r="B6" t="s">
        <v>11</v>
      </c>
      <c r="C6" t="s">
        <v>11</v>
      </c>
      <c r="D6">
        <v>3.8</v>
      </c>
      <c r="E6">
        <v>166</v>
      </c>
      <c r="F6">
        <v>600</v>
      </c>
      <c r="G6" t="s">
        <v>9</v>
      </c>
      <c r="I6" t="s">
        <v>159</v>
      </c>
    </row>
    <row r="7" spans="1:9" x14ac:dyDescent="0.25">
      <c r="A7" t="s">
        <v>15</v>
      </c>
      <c r="B7" t="s">
        <v>8</v>
      </c>
      <c r="C7" t="s">
        <v>11</v>
      </c>
      <c r="D7">
        <v>3.8</v>
      </c>
      <c r="E7">
        <v>286</v>
      </c>
      <c r="F7">
        <v>600</v>
      </c>
      <c r="G7" t="s">
        <v>9</v>
      </c>
      <c r="I7">
        <f>SUM(E2:E149)</f>
        <v>39192</v>
      </c>
    </row>
    <row r="8" spans="1:9" x14ac:dyDescent="0.25">
      <c r="A8" t="s">
        <v>16</v>
      </c>
      <c r="B8" t="s">
        <v>11</v>
      </c>
      <c r="C8" t="s">
        <v>11</v>
      </c>
      <c r="D8">
        <v>3.6</v>
      </c>
      <c r="E8">
        <v>8</v>
      </c>
      <c r="F8">
        <v>800</v>
      </c>
      <c r="G8" t="s">
        <v>9</v>
      </c>
      <c r="I8" t="s">
        <v>160</v>
      </c>
    </row>
    <row r="9" spans="1:9" x14ac:dyDescent="0.25">
      <c r="A9" t="s">
        <v>17</v>
      </c>
      <c r="B9" t="s">
        <v>8</v>
      </c>
      <c r="C9" t="s">
        <v>8</v>
      </c>
      <c r="D9">
        <v>4.5999999999999996</v>
      </c>
      <c r="E9">
        <v>2556</v>
      </c>
      <c r="F9">
        <v>600</v>
      </c>
      <c r="G9" t="s">
        <v>18</v>
      </c>
      <c r="I9" s="3">
        <f>AVERAGE(D2:D149)</f>
        <v>3.633108108108106</v>
      </c>
    </row>
    <row r="10" spans="1:9" x14ac:dyDescent="0.25">
      <c r="A10" t="s">
        <v>19</v>
      </c>
      <c r="B10" t="s">
        <v>8</v>
      </c>
      <c r="C10" t="s">
        <v>11</v>
      </c>
      <c r="D10">
        <v>4</v>
      </c>
      <c r="E10">
        <v>324</v>
      </c>
      <c r="F10">
        <v>700</v>
      </c>
      <c r="G10" t="s">
        <v>20</v>
      </c>
      <c r="I10" t="s">
        <v>161</v>
      </c>
    </row>
    <row r="11" spans="1:9" x14ac:dyDescent="0.25">
      <c r="A11" t="s">
        <v>21</v>
      </c>
      <c r="B11" t="s">
        <v>8</v>
      </c>
      <c r="C11" t="s">
        <v>11</v>
      </c>
      <c r="D11">
        <v>4.2</v>
      </c>
      <c r="E11">
        <v>504</v>
      </c>
      <c r="F11">
        <v>550</v>
      </c>
      <c r="G11" t="s">
        <v>18</v>
      </c>
      <c r="I11" s="3">
        <f>AVERAGE(F2:F149)</f>
        <v>418.24324324324323</v>
      </c>
    </row>
    <row r="12" spans="1:9" x14ac:dyDescent="0.25">
      <c r="A12" t="s">
        <v>22</v>
      </c>
      <c r="B12" t="s">
        <v>8</v>
      </c>
      <c r="C12" t="s">
        <v>11</v>
      </c>
      <c r="D12">
        <v>4.0999999999999996</v>
      </c>
      <c r="E12">
        <v>402</v>
      </c>
      <c r="F12">
        <v>500</v>
      </c>
      <c r="G12" t="s">
        <v>18</v>
      </c>
    </row>
    <row r="13" spans="1:9" x14ac:dyDescent="0.25">
      <c r="A13" t="s">
        <v>23</v>
      </c>
      <c r="B13" t="s">
        <v>8</v>
      </c>
      <c r="C13" t="s">
        <v>8</v>
      </c>
      <c r="D13">
        <v>4.2</v>
      </c>
      <c r="E13">
        <v>150</v>
      </c>
      <c r="F13">
        <v>600</v>
      </c>
      <c r="G13" t="s">
        <v>18</v>
      </c>
    </row>
    <row r="14" spans="1:9" x14ac:dyDescent="0.25">
      <c r="A14" t="s">
        <v>24</v>
      </c>
      <c r="B14" t="s">
        <v>8</v>
      </c>
      <c r="C14" t="s">
        <v>8</v>
      </c>
      <c r="D14">
        <v>4.2</v>
      </c>
      <c r="E14">
        <v>164</v>
      </c>
      <c r="F14">
        <v>500</v>
      </c>
      <c r="G14" t="s">
        <v>18</v>
      </c>
    </row>
    <row r="15" spans="1:9" x14ac:dyDescent="0.25">
      <c r="A15" t="s">
        <v>25</v>
      </c>
      <c r="B15" t="s">
        <v>11</v>
      </c>
      <c r="C15" t="s">
        <v>11</v>
      </c>
      <c r="D15">
        <v>4</v>
      </c>
      <c r="E15">
        <v>424</v>
      </c>
      <c r="F15">
        <v>450</v>
      </c>
      <c r="G15" t="s">
        <v>18</v>
      </c>
    </row>
    <row r="16" spans="1:9" x14ac:dyDescent="0.25">
      <c r="A16" t="s">
        <v>12</v>
      </c>
      <c r="B16" t="s">
        <v>8</v>
      </c>
      <c r="C16" t="s">
        <v>11</v>
      </c>
      <c r="D16">
        <v>3.8</v>
      </c>
      <c r="E16">
        <v>918</v>
      </c>
      <c r="F16">
        <v>800</v>
      </c>
      <c r="G16" t="s">
        <v>18</v>
      </c>
    </row>
    <row r="17" spans="1:7" x14ac:dyDescent="0.25">
      <c r="A17" t="s">
        <v>26</v>
      </c>
      <c r="B17" t="s">
        <v>8</v>
      </c>
      <c r="C17" t="s">
        <v>11</v>
      </c>
      <c r="D17">
        <v>3.8</v>
      </c>
      <c r="E17">
        <v>90</v>
      </c>
      <c r="F17">
        <v>650</v>
      </c>
      <c r="G17" t="s">
        <v>18</v>
      </c>
    </row>
    <row r="18" spans="1:7" x14ac:dyDescent="0.25">
      <c r="A18" t="s">
        <v>27</v>
      </c>
      <c r="B18" t="s">
        <v>8</v>
      </c>
      <c r="C18" t="s">
        <v>11</v>
      </c>
      <c r="D18">
        <v>3.9</v>
      </c>
      <c r="E18">
        <v>133</v>
      </c>
      <c r="F18">
        <v>800</v>
      </c>
      <c r="G18" t="s">
        <v>18</v>
      </c>
    </row>
    <row r="19" spans="1:7" x14ac:dyDescent="0.25">
      <c r="A19" t="s">
        <v>28</v>
      </c>
      <c r="B19" t="s">
        <v>8</v>
      </c>
      <c r="C19" t="s">
        <v>11</v>
      </c>
      <c r="D19">
        <v>3.8</v>
      </c>
      <c r="E19">
        <v>144</v>
      </c>
      <c r="F19">
        <v>700</v>
      </c>
      <c r="G19" t="s">
        <v>18</v>
      </c>
    </row>
    <row r="20" spans="1:7" x14ac:dyDescent="0.25">
      <c r="A20" t="s">
        <v>29</v>
      </c>
      <c r="B20" t="s">
        <v>11</v>
      </c>
      <c r="C20" t="s">
        <v>11</v>
      </c>
      <c r="D20">
        <v>3.9</v>
      </c>
      <c r="E20">
        <v>93</v>
      </c>
      <c r="F20">
        <v>300</v>
      </c>
      <c r="G20" t="s">
        <v>18</v>
      </c>
    </row>
    <row r="21" spans="1:7" x14ac:dyDescent="0.25">
      <c r="A21" t="s">
        <v>30</v>
      </c>
      <c r="B21" t="s">
        <v>8</v>
      </c>
      <c r="C21" t="s">
        <v>11</v>
      </c>
      <c r="D21">
        <v>3.1</v>
      </c>
      <c r="E21">
        <v>13</v>
      </c>
      <c r="F21">
        <v>400</v>
      </c>
      <c r="G21" t="s">
        <v>18</v>
      </c>
    </row>
    <row r="22" spans="1:7" x14ac:dyDescent="0.25">
      <c r="A22" t="s">
        <v>31</v>
      </c>
      <c r="B22" t="s">
        <v>8</v>
      </c>
      <c r="C22" t="s">
        <v>11</v>
      </c>
      <c r="D22">
        <v>3</v>
      </c>
      <c r="E22">
        <v>62</v>
      </c>
      <c r="F22">
        <v>400</v>
      </c>
      <c r="G22" t="s">
        <v>18</v>
      </c>
    </row>
    <row r="23" spans="1:7" x14ac:dyDescent="0.25">
      <c r="A23" t="s">
        <v>32</v>
      </c>
      <c r="B23" t="s">
        <v>8</v>
      </c>
      <c r="C23" t="s">
        <v>11</v>
      </c>
      <c r="D23">
        <v>3.7</v>
      </c>
      <c r="E23">
        <v>180</v>
      </c>
      <c r="F23">
        <v>500</v>
      </c>
      <c r="G23" t="s">
        <v>18</v>
      </c>
    </row>
    <row r="24" spans="1:7" x14ac:dyDescent="0.25">
      <c r="A24" t="s">
        <v>33</v>
      </c>
      <c r="B24" t="s">
        <v>11</v>
      </c>
      <c r="C24" t="s">
        <v>11</v>
      </c>
      <c r="D24">
        <v>3.6</v>
      </c>
      <c r="E24">
        <v>28</v>
      </c>
      <c r="F24">
        <v>900</v>
      </c>
      <c r="G24" t="s">
        <v>18</v>
      </c>
    </row>
    <row r="25" spans="1:7" x14ac:dyDescent="0.25">
      <c r="A25" t="s">
        <v>34</v>
      </c>
      <c r="B25" t="s">
        <v>8</v>
      </c>
      <c r="C25" t="s">
        <v>11</v>
      </c>
      <c r="D25">
        <v>3.6</v>
      </c>
      <c r="E25">
        <v>62</v>
      </c>
      <c r="F25">
        <v>600</v>
      </c>
      <c r="G25" t="s">
        <v>18</v>
      </c>
    </row>
    <row r="26" spans="1:7" x14ac:dyDescent="0.25">
      <c r="A26" t="s">
        <v>35</v>
      </c>
      <c r="B26" t="s">
        <v>11</v>
      </c>
      <c r="C26" t="s">
        <v>11</v>
      </c>
      <c r="D26">
        <v>3.7</v>
      </c>
      <c r="E26">
        <v>31</v>
      </c>
      <c r="F26">
        <v>300</v>
      </c>
      <c r="G26" t="s">
        <v>18</v>
      </c>
    </row>
    <row r="27" spans="1:7" x14ac:dyDescent="0.25">
      <c r="A27" t="s">
        <v>36</v>
      </c>
      <c r="B27" t="s">
        <v>11</v>
      </c>
      <c r="C27" t="s">
        <v>11</v>
      </c>
      <c r="D27">
        <v>3.2</v>
      </c>
      <c r="E27">
        <v>11</v>
      </c>
      <c r="F27">
        <v>600</v>
      </c>
      <c r="G27" t="s">
        <v>18</v>
      </c>
    </row>
    <row r="28" spans="1:7" x14ac:dyDescent="0.25">
      <c r="A28" t="s">
        <v>37</v>
      </c>
      <c r="B28" t="s">
        <v>8</v>
      </c>
      <c r="C28" t="s">
        <v>11</v>
      </c>
      <c r="D28">
        <v>3.8</v>
      </c>
      <c r="E28">
        <v>75</v>
      </c>
      <c r="F28">
        <v>200</v>
      </c>
      <c r="G28" t="s">
        <v>18</v>
      </c>
    </row>
    <row r="29" spans="1:7" x14ac:dyDescent="0.25">
      <c r="A29" t="s">
        <v>38</v>
      </c>
      <c r="B29" t="s">
        <v>11</v>
      </c>
      <c r="C29" t="s">
        <v>11</v>
      </c>
      <c r="D29">
        <v>3.3</v>
      </c>
      <c r="E29">
        <v>4</v>
      </c>
      <c r="F29">
        <v>500</v>
      </c>
      <c r="G29" t="s">
        <v>18</v>
      </c>
    </row>
    <row r="30" spans="1:7" x14ac:dyDescent="0.25">
      <c r="A30" t="s">
        <v>39</v>
      </c>
      <c r="B30" t="s">
        <v>11</v>
      </c>
      <c r="C30" t="s">
        <v>11</v>
      </c>
      <c r="D30">
        <v>3.3</v>
      </c>
      <c r="E30">
        <v>23</v>
      </c>
      <c r="F30">
        <v>550</v>
      </c>
      <c r="G30" t="s">
        <v>18</v>
      </c>
    </row>
    <row r="31" spans="1:7" x14ac:dyDescent="0.25">
      <c r="A31" t="s">
        <v>40</v>
      </c>
      <c r="B31" t="s">
        <v>11</v>
      </c>
      <c r="C31" t="s">
        <v>11</v>
      </c>
      <c r="D31">
        <v>3.8</v>
      </c>
      <c r="E31">
        <v>148</v>
      </c>
      <c r="F31">
        <v>550</v>
      </c>
      <c r="G31" t="s">
        <v>18</v>
      </c>
    </row>
    <row r="32" spans="1:7" x14ac:dyDescent="0.25">
      <c r="A32" t="s">
        <v>41</v>
      </c>
      <c r="B32" t="s">
        <v>8</v>
      </c>
      <c r="C32" t="s">
        <v>11</v>
      </c>
      <c r="D32">
        <v>4</v>
      </c>
      <c r="E32">
        <v>219</v>
      </c>
      <c r="F32">
        <v>600</v>
      </c>
      <c r="G32" t="s">
        <v>18</v>
      </c>
    </row>
    <row r="33" spans="1:7" x14ac:dyDescent="0.25">
      <c r="A33" t="s">
        <v>42</v>
      </c>
      <c r="B33" t="s">
        <v>8</v>
      </c>
      <c r="C33" t="s">
        <v>11</v>
      </c>
      <c r="D33">
        <v>2.8</v>
      </c>
      <c r="E33">
        <v>506</v>
      </c>
      <c r="F33">
        <v>500</v>
      </c>
      <c r="G33" t="s">
        <v>20</v>
      </c>
    </row>
    <row r="34" spans="1:7" x14ac:dyDescent="0.25">
      <c r="A34" t="s">
        <v>43</v>
      </c>
      <c r="B34" t="s">
        <v>8</v>
      </c>
      <c r="C34" t="s">
        <v>11</v>
      </c>
      <c r="D34">
        <v>3.9</v>
      </c>
      <c r="E34">
        <v>35</v>
      </c>
      <c r="F34">
        <v>500</v>
      </c>
      <c r="G34" t="s">
        <v>44</v>
      </c>
    </row>
    <row r="35" spans="1:7" x14ac:dyDescent="0.25">
      <c r="A35" t="s">
        <v>45</v>
      </c>
      <c r="B35" t="s">
        <v>8</v>
      </c>
      <c r="C35" t="s">
        <v>11</v>
      </c>
      <c r="D35">
        <v>3.9</v>
      </c>
      <c r="E35">
        <v>172</v>
      </c>
      <c r="F35">
        <v>750</v>
      </c>
      <c r="G35" t="s">
        <v>44</v>
      </c>
    </row>
    <row r="36" spans="1:7" x14ac:dyDescent="0.25">
      <c r="A36" t="s">
        <v>46</v>
      </c>
      <c r="B36" t="s">
        <v>8</v>
      </c>
      <c r="C36" t="s">
        <v>11</v>
      </c>
      <c r="D36">
        <v>4.2</v>
      </c>
      <c r="E36">
        <v>415</v>
      </c>
      <c r="F36">
        <v>500</v>
      </c>
      <c r="G36" t="s">
        <v>20</v>
      </c>
    </row>
    <row r="37" spans="1:7" x14ac:dyDescent="0.25">
      <c r="A37" t="s">
        <v>47</v>
      </c>
      <c r="B37" t="s">
        <v>8</v>
      </c>
      <c r="C37" t="s">
        <v>11</v>
      </c>
      <c r="D37">
        <v>3.9</v>
      </c>
      <c r="E37">
        <v>230</v>
      </c>
      <c r="F37">
        <v>650</v>
      </c>
      <c r="G37" t="s">
        <v>44</v>
      </c>
    </row>
    <row r="38" spans="1:7" x14ac:dyDescent="0.25">
      <c r="A38" t="s">
        <v>48</v>
      </c>
      <c r="B38" t="s">
        <v>8</v>
      </c>
      <c r="C38" t="s">
        <v>11</v>
      </c>
      <c r="D38">
        <v>2.8</v>
      </c>
      <c r="E38">
        <v>91</v>
      </c>
      <c r="F38">
        <v>400</v>
      </c>
      <c r="G38" t="s">
        <v>44</v>
      </c>
    </row>
    <row r="39" spans="1:7" x14ac:dyDescent="0.25">
      <c r="A39" t="s">
        <v>49</v>
      </c>
      <c r="B39" t="s">
        <v>8</v>
      </c>
      <c r="C39" t="s">
        <v>11</v>
      </c>
      <c r="D39">
        <v>4.2</v>
      </c>
      <c r="E39">
        <v>1647</v>
      </c>
      <c r="F39">
        <v>600</v>
      </c>
      <c r="G39" t="s">
        <v>44</v>
      </c>
    </row>
    <row r="40" spans="1:7" x14ac:dyDescent="0.25">
      <c r="A40" t="s">
        <v>50</v>
      </c>
      <c r="B40" t="s">
        <v>8</v>
      </c>
      <c r="C40" t="s">
        <v>11</v>
      </c>
      <c r="D40">
        <v>4.4000000000000004</v>
      </c>
      <c r="E40">
        <v>4884</v>
      </c>
      <c r="F40">
        <v>750</v>
      </c>
      <c r="G40" t="s">
        <v>20</v>
      </c>
    </row>
    <row r="41" spans="1:7" x14ac:dyDescent="0.25">
      <c r="A41" t="s">
        <v>51</v>
      </c>
      <c r="B41" t="s">
        <v>8</v>
      </c>
      <c r="C41" t="s">
        <v>11</v>
      </c>
      <c r="D41">
        <v>4</v>
      </c>
      <c r="E41">
        <v>17</v>
      </c>
      <c r="F41">
        <v>150</v>
      </c>
      <c r="G41" t="s">
        <v>44</v>
      </c>
    </row>
    <row r="42" spans="1:7" x14ac:dyDescent="0.25">
      <c r="A42" t="s">
        <v>52</v>
      </c>
      <c r="B42" t="s">
        <v>8</v>
      </c>
      <c r="C42" t="s">
        <v>11</v>
      </c>
      <c r="D42">
        <v>3.8</v>
      </c>
      <c r="E42">
        <v>133</v>
      </c>
      <c r="F42">
        <v>200</v>
      </c>
      <c r="G42" t="s">
        <v>44</v>
      </c>
    </row>
    <row r="43" spans="1:7" x14ac:dyDescent="0.25">
      <c r="A43" t="s">
        <v>53</v>
      </c>
      <c r="B43" t="s">
        <v>11</v>
      </c>
      <c r="C43" t="s">
        <v>11</v>
      </c>
      <c r="D43">
        <v>3.9</v>
      </c>
      <c r="E43">
        <v>28</v>
      </c>
      <c r="F43">
        <v>300</v>
      </c>
      <c r="G43" t="s">
        <v>44</v>
      </c>
    </row>
    <row r="44" spans="1:7" x14ac:dyDescent="0.25">
      <c r="A44" t="s">
        <v>54</v>
      </c>
      <c r="B44" t="s">
        <v>8</v>
      </c>
      <c r="C44" t="s">
        <v>11</v>
      </c>
      <c r="D44">
        <v>3.9</v>
      </c>
      <c r="E44">
        <v>286</v>
      </c>
      <c r="F44">
        <v>500</v>
      </c>
      <c r="G44" t="s">
        <v>44</v>
      </c>
    </row>
    <row r="45" spans="1:7" x14ac:dyDescent="0.25">
      <c r="A45" t="s">
        <v>55</v>
      </c>
      <c r="B45" t="s">
        <v>8</v>
      </c>
      <c r="C45" t="s">
        <v>11</v>
      </c>
      <c r="D45">
        <v>3.9</v>
      </c>
      <c r="E45">
        <v>540</v>
      </c>
      <c r="F45">
        <v>800</v>
      </c>
      <c r="G45" t="s">
        <v>44</v>
      </c>
    </row>
    <row r="46" spans="1:7" x14ac:dyDescent="0.25">
      <c r="A46" t="s">
        <v>17</v>
      </c>
      <c r="B46" t="s">
        <v>8</v>
      </c>
      <c r="C46" t="s">
        <v>8</v>
      </c>
      <c r="D46">
        <v>4.5999999999999996</v>
      </c>
      <c r="E46">
        <v>2556</v>
      </c>
      <c r="F46">
        <v>600</v>
      </c>
      <c r="G46" t="s">
        <v>20</v>
      </c>
    </row>
    <row r="47" spans="1:7" x14ac:dyDescent="0.25">
      <c r="A47" t="s">
        <v>56</v>
      </c>
      <c r="B47" t="s">
        <v>11</v>
      </c>
      <c r="C47" t="s">
        <v>11</v>
      </c>
      <c r="D47">
        <v>3.8</v>
      </c>
      <c r="E47">
        <v>36</v>
      </c>
      <c r="F47">
        <v>400</v>
      </c>
      <c r="G47" t="s">
        <v>44</v>
      </c>
    </row>
    <row r="48" spans="1:7" x14ac:dyDescent="0.25">
      <c r="A48" t="s">
        <v>57</v>
      </c>
      <c r="B48" t="s">
        <v>8</v>
      </c>
      <c r="C48" t="s">
        <v>11</v>
      </c>
      <c r="D48">
        <v>3.6</v>
      </c>
      <c r="E48">
        <v>244</v>
      </c>
      <c r="F48">
        <v>300</v>
      </c>
      <c r="G48" t="s">
        <v>44</v>
      </c>
    </row>
    <row r="49" spans="1:7" x14ac:dyDescent="0.25">
      <c r="A49" t="s">
        <v>58</v>
      </c>
      <c r="B49" t="s">
        <v>8</v>
      </c>
      <c r="C49" t="s">
        <v>11</v>
      </c>
      <c r="D49">
        <v>4</v>
      </c>
      <c r="E49">
        <v>804</v>
      </c>
      <c r="F49">
        <v>450</v>
      </c>
      <c r="G49" t="s">
        <v>44</v>
      </c>
    </row>
    <row r="50" spans="1:7" x14ac:dyDescent="0.25">
      <c r="A50" t="s">
        <v>59</v>
      </c>
      <c r="B50" t="s">
        <v>8</v>
      </c>
      <c r="C50" t="s">
        <v>11</v>
      </c>
      <c r="D50">
        <v>3.7</v>
      </c>
      <c r="E50">
        <v>679</v>
      </c>
      <c r="F50">
        <v>850</v>
      </c>
      <c r="G50" t="s">
        <v>44</v>
      </c>
    </row>
    <row r="51" spans="1:7" x14ac:dyDescent="0.25">
      <c r="A51" t="s">
        <v>60</v>
      </c>
      <c r="B51" t="s">
        <v>8</v>
      </c>
      <c r="C51" t="s">
        <v>11</v>
      </c>
      <c r="D51">
        <v>3.1</v>
      </c>
      <c r="E51">
        <v>245</v>
      </c>
      <c r="F51">
        <v>300</v>
      </c>
      <c r="G51" t="s">
        <v>44</v>
      </c>
    </row>
    <row r="52" spans="1:7" x14ac:dyDescent="0.25">
      <c r="A52" t="s">
        <v>61</v>
      </c>
      <c r="B52" t="s">
        <v>11</v>
      </c>
      <c r="C52" t="s">
        <v>11</v>
      </c>
      <c r="D52">
        <v>3.7</v>
      </c>
      <c r="E52">
        <v>21</v>
      </c>
      <c r="F52">
        <v>450</v>
      </c>
      <c r="G52" t="s">
        <v>44</v>
      </c>
    </row>
    <row r="53" spans="1:7" x14ac:dyDescent="0.25">
      <c r="A53" t="s">
        <v>62</v>
      </c>
      <c r="B53" t="s">
        <v>8</v>
      </c>
      <c r="C53" t="s">
        <v>11</v>
      </c>
      <c r="D53">
        <v>4.0999999999999996</v>
      </c>
      <c r="E53">
        <v>28</v>
      </c>
      <c r="F53">
        <v>150</v>
      </c>
      <c r="G53" t="s">
        <v>44</v>
      </c>
    </row>
    <row r="54" spans="1:7" x14ac:dyDescent="0.25">
      <c r="A54" t="s">
        <v>63</v>
      </c>
      <c r="B54" t="s">
        <v>11</v>
      </c>
      <c r="C54" t="s">
        <v>11</v>
      </c>
      <c r="D54">
        <v>4.3</v>
      </c>
      <c r="E54">
        <v>345</v>
      </c>
      <c r="F54">
        <v>400</v>
      </c>
      <c r="G54" t="s">
        <v>44</v>
      </c>
    </row>
    <row r="55" spans="1:7" x14ac:dyDescent="0.25">
      <c r="A55" t="s">
        <v>64</v>
      </c>
      <c r="B55" t="s">
        <v>8</v>
      </c>
      <c r="C55" t="s">
        <v>11</v>
      </c>
      <c r="D55">
        <v>4</v>
      </c>
      <c r="E55">
        <v>618</v>
      </c>
      <c r="F55">
        <v>750</v>
      </c>
      <c r="G55" t="s">
        <v>44</v>
      </c>
    </row>
    <row r="56" spans="1:7" x14ac:dyDescent="0.25">
      <c r="A56" t="s">
        <v>65</v>
      </c>
      <c r="B56" t="s">
        <v>11</v>
      </c>
      <c r="C56" t="s">
        <v>11</v>
      </c>
      <c r="D56">
        <v>4</v>
      </c>
      <c r="E56">
        <v>1047</v>
      </c>
      <c r="F56">
        <v>450</v>
      </c>
      <c r="G56" t="s">
        <v>44</v>
      </c>
    </row>
    <row r="57" spans="1:7" x14ac:dyDescent="0.25">
      <c r="A57" t="s">
        <v>66</v>
      </c>
      <c r="B57" t="s">
        <v>8</v>
      </c>
      <c r="C57" t="s">
        <v>11</v>
      </c>
      <c r="D57">
        <v>3.9</v>
      </c>
      <c r="E57">
        <v>627</v>
      </c>
      <c r="F57">
        <v>450</v>
      </c>
      <c r="G57" t="s">
        <v>44</v>
      </c>
    </row>
    <row r="58" spans="1:7" x14ac:dyDescent="0.25">
      <c r="A58" t="s">
        <v>67</v>
      </c>
      <c r="B58" t="s">
        <v>8</v>
      </c>
      <c r="C58" t="s">
        <v>11</v>
      </c>
      <c r="D58">
        <v>3.8</v>
      </c>
      <c r="E58">
        <v>104</v>
      </c>
      <c r="F58">
        <v>300</v>
      </c>
      <c r="G58" t="s">
        <v>44</v>
      </c>
    </row>
    <row r="59" spans="1:7" x14ac:dyDescent="0.25">
      <c r="A59" t="s">
        <v>68</v>
      </c>
      <c r="B59" t="s">
        <v>8</v>
      </c>
      <c r="C59" t="s">
        <v>8</v>
      </c>
      <c r="D59">
        <v>4.2</v>
      </c>
      <c r="E59">
        <v>354</v>
      </c>
      <c r="F59">
        <v>800</v>
      </c>
      <c r="G59" t="s">
        <v>20</v>
      </c>
    </row>
    <row r="60" spans="1:7" x14ac:dyDescent="0.25">
      <c r="A60" t="s">
        <v>69</v>
      </c>
      <c r="B60" t="s">
        <v>11</v>
      </c>
      <c r="C60" t="s">
        <v>11</v>
      </c>
      <c r="D60">
        <v>3.6</v>
      </c>
      <c r="E60">
        <v>55</v>
      </c>
      <c r="F60">
        <v>200</v>
      </c>
      <c r="G60" t="s">
        <v>44</v>
      </c>
    </row>
    <row r="61" spans="1:7" x14ac:dyDescent="0.25">
      <c r="A61" t="s">
        <v>70</v>
      </c>
      <c r="B61" t="s">
        <v>8</v>
      </c>
      <c r="C61" t="s">
        <v>11</v>
      </c>
      <c r="D61">
        <v>3.7</v>
      </c>
      <c r="E61">
        <v>17</v>
      </c>
      <c r="F61">
        <v>400</v>
      </c>
      <c r="G61" t="s">
        <v>44</v>
      </c>
    </row>
    <row r="62" spans="1:7" x14ac:dyDescent="0.25">
      <c r="A62" t="s">
        <v>71</v>
      </c>
      <c r="B62" t="s">
        <v>11</v>
      </c>
      <c r="C62" t="s">
        <v>11</v>
      </c>
      <c r="D62">
        <v>4.2</v>
      </c>
      <c r="E62">
        <v>244</v>
      </c>
      <c r="F62">
        <v>800</v>
      </c>
      <c r="G62" t="s">
        <v>20</v>
      </c>
    </row>
    <row r="63" spans="1:7" x14ac:dyDescent="0.25">
      <c r="A63" t="s">
        <v>72</v>
      </c>
      <c r="B63" t="s">
        <v>8</v>
      </c>
      <c r="C63" t="s">
        <v>8</v>
      </c>
      <c r="D63">
        <v>3.6</v>
      </c>
      <c r="E63">
        <v>163</v>
      </c>
      <c r="F63">
        <v>800</v>
      </c>
      <c r="G63" t="s">
        <v>44</v>
      </c>
    </row>
    <row r="64" spans="1:7" x14ac:dyDescent="0.25">
      <c r="A64" t="s">
        <v>73</v>
      </c>
      <c r="B64" t="s">
        <v>8</v>
      </c>
      <c r="C64" t="s">
        <v>11</v>
      </c>
      <c r="D64">
        <v>3.8</v>
      </c>
      <c r="E64">
        <v>58</v>
      </c>
      <c r="F64">
        <v>150</v>
      </c>
      <c r="G64" t="s">
        <v>44</v>
      </c>
    </row>
    <row r="65" spans="1:7" x14ac:dyDescent="0.25">
      <c r="A65" t="s">
        <v>74</v>
      </c>
      <c r="B65" t="s">
        <v>11</v>
      </c>
      <c r="C65" t="s">
        <v>8</v>
      </c>
      <c r="D65">
        <v>4</v>
      </c>
      <c r="E65">
        <v>808</v>
      </c>
      <c r="F65">
        <v>850</v>
      </c>
      <c r="G65" t="s">
        <v>44</v>
      </c>
    </row>
    <row r="66" spans="1:7" x14ac:dyDescent="0.25">
      <c r="A66" t="s">
        <v>75</v>
      </c>
      <c r="B66" t="s">
        <v>11</v>
      </c>
      <c r="C66" t="s">
        <v>11</v>
      </c>
      <c r="D66">
        <v>3.7</v>
      </c>
      <c r="E66">
        <v>78</v>
      </c>
      <c r="F66">
        <v>150</v>
      </c>
      <c r="G66" t="s">
        <v>44</v>
      </c>
    </row>
    <row r="67" spans="1:7" x14ac:dyDescent="0.25">
      <c r="A67" t="s">
        <v>76</v>
      </c>
      <c r="B67" t="s">
        <v>8</v>
      </c>
      <c r="C67" t="s">
        <v>11</v>
      </c>
      <c r="D67">
        <v>4.0999999999999996</v>
      </c>
      <c r="E67">
        <v>1720</v>
      </c>
      <c r="F67">
        <v>400</v>
      </c>
      <c r="G67" t="s">
        <v>44</v>
      </c>
    </row>
    <row r="68" spans="1:7" x14ac:dyDescent="0.25">
      <c r="A68" t="s">
        <v>77</v>
      </c>
      <c r="B68" t="s">
        <v>8</v>
      </c>
      <c r="C68" t="s">
        <v>11</v>
      </c>
      <c r="D68">
        <v>3.6</v>
      </c>
      <c r="E68">
        <v>34</v>
      </c>
      <c r="F68">
        <v>100</v>
      </c>
      <c r="G68" t="s">
        <v>44</v>
      </c>
    </row>
    <row r="69" spans="1:7" x14ac:dyDescent="0.25">
      <c r="A69" t="s">
        <v>78</v>
      </c>
      <c r="B69" t="s">
        <v>11</v>
      </c>
      <c r="C69" t="s">
        <v>11</v>
      </c>
      <c r="D69">
        <v>4.0999999999999996</v>
      </c>
      <c r="E69">
        <v>868</v>
      </c>
      <c r="F69">
        <v>700</v>
      </c>
      <c r="G69" t="s">
        <v>44</v>
      </c>
    </row>
    <row r="70" spans="1:7" x14ac:dyDescent="0.25">
      <c r="A70" t="s">
        <v>79</v>
      </c>
      <c r="B70" t="s">
        <v>11</v>
      </c>
      <c r="C70" t="s">
        <v>11</v>
      </c>
      <c r="D70">
        <v>3.8</v>
      </c>
      <c r="E70">
        <v>39</v>
      </c>
      <c r="F70">
        <v>300</v>
      </c>
      <c r="G70" t="s">
        <v>44</v>
      </c>
    </row>
    <row r="71" spans="1:7" x14ac:dyDescent="0.25">
      <c r="A71" t="s">
        <v>80</v>
      </c>
      <c r="B71" t="s">
        <v>8</v>
      </c>
      <c r="C71" t="s">
        <v>11</v>
      </c>
      <c r="D71">
        <v>3.2</v>
      </c>
      <c r="E71">
        <v>71</v>
      </c>
      <c r="F71">
        <v>600</v>
      </c>
      <c r="G71" t="s">
        <v>44</v>
      </c>
    </row>
    <row r="72" spans="1:7" x14ac:dyDescent="0.25">
      <c r="A72" t="s">
        <v>81</v>
      </c>
      <c r="B72" t="s">
        <v>8</v>
      </c>
      <c r="C72" t="s">
        <v>11</v>
      </c>
      <c r="D72">
        <v>3.6</v>
      </c>
      <c r="E72">
        <v>6</v>
      </c>
      <c r="F72">
        <v>500</v>
      </c>
      <c r="G72" t="s">
        <v>44</v>
      </c>
    </row>
    <row r="73" spans="1:7" x14ac:dyDescent="0.25">
      <c r="A73" t="s">
        <v>82</v>
      </c>
      <c r="B73" t="s">
        <v>11</v>
      </c>
      <c r="C73" t="s">
        <v>11</v>
      </c>
      <c r="D73">
        <v>4.0999999999999996</v>
      </c>
      <c r="E73">
        <v>520</v>
      </c>
      <c r="F73">
        <v>300</v>
      </c>
      <c r="G73" t="s">
        <v>44</v>
      </c>
    </row>
    <row r="74" spans="1:7" x14ac:dyDescent="0.25">
      <c r="A74" t="s">
        <v>83</v>
      </c>
      <c r="B74" t="s">
        <v>11</v>
      </c>
      <c r="C74" t="s">
        <v>11</v>
      </c>
      <c r="D74">
        <v>4.0999999999999996</v>
      </c>
      <c r="E74">
        <v>0</v>
      </c>
      <c r="F74">
        <v>150</v>
      </c>
      <c r="G74" t="s">
        <v>44</v>
      </c>
    </row>
    <row r="75" spans="1:7" x14ac:dyDescent="0.25">
      <c r="A75" t="s">
        <v>84</v>
      </c>
      <c r="B75" t="s">
        <v>11</v>
      </c>
      <c r="C75" t="s">
        <v>11</v>
      </c>
      <c r="D75">
        <v>2.9</v>
      </c>
      <c r="E75">
        <v>84</v>
      </c>
      <c r="F75">
        <v>700</v>
      </c>
      <c r="G75" t="s">
        <v>20</v>
      </c>
    </row>
    <row r="76" spans="1:7" x14ac:dyDescent="0.25">
      <c r="A76" t="s">
        <v>85</v>
      </c>
      <c r="B76" t="s">
        <v>11</v>
      </c>
      <c r="C76" t="s">
        <v>11</v>
      </c>
      <c r="D76">
        <v>3.6</v>
      </c>
      <c r="E76">
        <v>299</v>
      </c>
      <c r="F76">
        <v>300</v>
      </c>
      <c r="G76" t="s">
        <v>44</v>
      </c>
    </row>
    <row r="77" spans="1:7" x14ac:dyDescent="0.25">
      <c r="A77" t="s">
        <v>86</v>
      </c>
      <c r="B77" t="s">
        <v>11</v>
      </c>
      <c r="C77" t="s">
        <v>11</v>
      </c>
      <c r="D77">
        <v>3.6</v>
      </c>
      <c r="E77">
        <v>0</v>
      </c>
      <c r="F77">
        <v>500</v>
      </c>
      <c r="G77" t="s">
        <v>44</v>
      </c>
    </row>
    <row r="78" spans="1:7" x14ac:dyDescent="0.25">
      <c r="A78" t="s">
        <v>87</v>
      </c>
      <c r="B78" t="s">
        <v>8</v>
      </c>
      <c r="C78" t="s">
        <v>11</v>
      </c>
      <c r="D78">
        <v>4.0999999999999996</v>
      </c>
      <c r="E78">
        <v>558</v>
      </c>
      <c r="F78">
        <v>150</v>
      </c>
      <c r="G78" t="s">
        <v>44</v>
      </c>
    </row>
    <row r="79" spans="1:7" x14ac:dyDescent="0.25">
      <c r="A79" t="s">
        <v>88</v>
      </c>
      <c r="B79" t="s">
        <v>8</v>
      </c>
      <c r="C79" t="s">
        <v>11</v>
      </c>
      <c r="D79">
        <v>3.6</v>
      </c>
      <c r="E79">
        <v>28</v>
      </c>
      <c r="F79">
        <v>300</v>
      </c>
      <c r="G79" t="s">
        <v>44</v>
      </c>
    </row>
    <row r="80" spans="1:7" x14ac:dyDescent="0.25">
      <c r="A80" t="s">
        <v>89</v>
      </c>
      <c r="B80" t="s">
        <v>11</v>
      </c>
      <c r="C80" t="s">
        <v>11</v>
      </c>
      <c r="D80">
        <v>3.7</v>
      </c>
      <c r="E80">
        <v>22</v>
      </c>
      <c r="F80">
        <v>500</v>
      </c>
      <c r="G80" t="s">
        <v>44</v>
      </c>
    </row>
    <row r="81" spans="1:7" x14ac:dyDescent="0.25">
      <c r="A81" t="s">
        <v>90</v>
      </c>
      <c r="B81" t="s">
        <v>11</v>
      </c>
      <c r="C81" t="s">
        <v>11</v>
      </c>
      <c r="D81">
        <v>3.8</v>
      </c>
      <c r="E81">
        <v>39</v>
      </c>
      <c r="F81">
        <v>350</v>
      </c>
      <c r="G81" t="s">
        <v>44</v>
      </c>
    </row>
    <row r="82" spans="1:7" x14ac:dyDescent="0.25">
      <c r="A82" t="s">
        <v>91</v>
      </c>
      <c r="B82" t="s">
        <v>8</v>
      </c>
      <c r="C82" t="s">
        <v>11</v>
      </c>
      <c r="D82">
        <v>3.8</v>
      </c>
      <c r="E82">
        <v>153</v>
      </c>
      <c r="F82">
        <v>500</v>
      </c>
      <c r="G82" t="s">
        <v>44</v>
      </c>
    </row>
    <row r="83" spans="1:7" x14ac:dyDescent="0.25">
      <c r="A83" t="s">
        <v>92</v>
      </c>
      <c r="B83" t="s">
        <v>8</v>
      </c>
      <c r="C83" t="s">
        <v>11</v>
      </c>
      <c r="D83">
        <v>4.2</v>
      </c>
      <c r="E83">
        <v>146</v>
      </c>
      <c r="F83">
        <v>400</v>
      </c>
      <c r="G83" t="s">
        <v>44</v>
      </c>
    </row>
    <row r="84" spans="1:7" x14ac:dyDescent="0.25">
      <c r="A84" t="s">
        <v>93</v>
      </c>
      <c r="B84" t="s">
        <v>11</v>
      </c>
      <c r="C84" t="s">
        <v>11</v>
      </c>
      <c r="D84">
        <v>3.5</v>
      </c>
      <c r="E84">
        <v>14</v>
      </c>
      <c r="F84">
        <v>200</v>
      </c>
      <c r="G84" t="s">
        <v>44</v>
      </c>
    </row>
    <row r="85" spans="1:7" x14ac:dyDescent="0.25">
      <c r="A85" t="s">
        <v>94</v>
      </c>
      <c r="B85" t="s">
        <v>11</v>
      </c>
      <c r="C85" t="s">
        <v>11</v>
      </c>
      <c r="D85">
        <v>3.8</v>
      </c>
      <c r="E85">
        <v>42</v>
      </c>
      <c r="F85">
        <v>700</v>
      </c>
      <c r="G85" t="s">
        <v>44</v>
      </c>
    </row>
    <row r="86" spans="1:7" x14ac:dyDescent="0.25">
      <c r="A86" t="s">
        <v>95</v>
      </c>
      <c r="B86" t="s">
        <v>11</v>
      </c>
      <c r="C86" t="s">
        <v>11</v>
      </c>
      <c r="D86">
        <v>3.8</v>
      </c>
      <c r="E86">
        <v>0</v>
      </c>
      <c r="F86">
        <v>100</v>
      </c>
      <c r="G86" t="s">
        <v>44</v>
      </c>
    </row>
    <row r="87" spans="1:7" x14ac:dyDescent="0.25">
      <c r="A87" t="s">
        <v>96</v>
      </c>
      <c r="B87" t="s">
        <v>11</v>
      </c>
      <c r="C87" t="s">
        <v>11</v>
      </c>
      <c r="D87">
        <v>4</v>
      </c>
      <c r="E87">
        <v>66</v>
      </c>
      <c r="F87">
        <v>300</v>
      </c>
      <c r="G87" t="s">
        <v>44</v>
      </c>
    </row>
    <row r="88" spans="1:7" x14ac:dyDescent="0.25">
      <c r="A88" t="s">
        <v>97</v>
      </c>
      <c r="B88" t="s">
        <v>8</v>
      </c>
      <c r="C88" t="s">
        <v>11</v>
      </c>
      <c r="D88">
        <v>4.4000000000000004</v>
      </c>
      <c r="E88">
        <v>4401</v>
      </c>
      <c r="F88">
        <v>600</v>
      </c>
      <c r="G88" t="s">
        <v>44</v>
      </c>
    </row>
    <row r="89" spans="1:7" x14ac:dyDescent="0.25">
      <c r="A89" t="s">
        <v>98</v>
      </c>
      <c r="B89" t="s">
        <v>11</v>
      </c>
      <c r="C89" t="s">
        <v>11</v>
      </c>
      <c r="D89">
        <v>3.5</v>
      </c>
      <c r="E89">
        <v>31</v>
      </c>
      <c r="F89">
        <v>200</v>
      </c>
      <c r="G89" t="s">
        <v>44</v>
      </c>
    </row>
    <row r="90" spans="1:7" x14ac:dyDescent="0.25">
      <c r="A90" t="s">
        <v>99</v>
      </c>
      <c r="B90" t="s">
        <v>11</v>
      </c>
      <c r="C90" t="s">
        <v>11</v>
      </c>
      <c r="D90">
        <v>3.5</v>
      </c>
      <c r="E90">
        <v>7</v>
      </c>
      <c r="F90">
        <v>500</v>
      </c>
      <c r="G90" t="s">
        <v>44</v>
      </c>
    </row>
    <row r="91" spans="1:7" x14ac:dyDescent="0.25">
      <c r="A91" t="s">
        <v>100</v>
      </c>
      <c r="B91" t="s">
        <v>11</v>
      </c>
      <c r="C91" t="s">
        <v>11</v>
      </c>
      <c r="D91">
        <v>3.7</v>
      </c>
      <c r="E91">
        <v>21</v>
      </c>
      <c r="F91">
        <v>250</v>
      </c>
      <c r="G91" t="s">
        <v>44</v>
      </c>
    </row>
    <row r="92" spans="1:7" x14ac:dyDescent="0.25">
      <c r="A92" t="s">
        <v>101</v>
      </c>
      <c r="B92" t="s">
        <v>11</v>
      </c>
      <c r="C92" t="s">
        <v>11</v>
      </c>
      <c r="D92">
        <v>3.7</v>
      </c>
      <c r="E92">
        <v>0</v>
      </c>
      <c r="F92">
        <v>500</v>
      </c>
      <c r="G92" t="s">
        <v>44</v>
      </c>
    </row>
    <row r="93" spans="1:7" x14ac:dyDescent="0.25">
      <c r="A93" t="s">
        <v>102</v>
      </c>
      <c r="B93" t="s">
        <v>11</v>
      </c>
      <c r="C93" t="s">
        <v>11</v>
      </c>
      <c r="D93">
        <v>3.7</v>
      </c>
      <c r="E93">
        <v>0</v>
      </c>
      <c r="F93">
        <v>400</v>
      </c>
      <c r="G93" t="s">
        <v>44</v>
      </c>
    </row>
    <row r="94" spans="1:7" x14ac:dyDescent="0.25">
      <c r="A94" t="s">
        <v>103</v>
      </c>
      <c r="B94" t="s">
        <v>11</v>
      </c>
      <c r="C94" t="s">
        <v>11</v>
      </c>
      <c r="D94">
        <v>3.7</v>
      </c>
      <c r="E94">
        <v>0</v>
      </c>
      <c r="F94">
        <v>200</v>
      </c>
      <c r="G94" t="s">
        <v>44</v>
      </c>
    </row>
    <row r="95" spans="1:7" x14ac:dyDescent="0.25">
      <c r="A95" t="s">
        <v>104</v>
      </c>
      <c r="B95" t="s">
        <v>11</v>
      </c>
      <c r="C95" t="s">
        <v>11</v>
      </c>
      <c r="D95">
        <v>3.2</v>
      </c>
      <c r="E95">
        <v>9</v>
      </c>
      <c r="F95">
        <v>300</v>
      </c>
      <c r="G95" t="s">
        <v>44</v>
      </c>
    </row>
    <row r="96" spans="1:7" x14ac:dyDescent="0.25">
      <c r="A96" t="s">
        <v>105</v>
      </c>
      <c r="B96" t="s">
        <v>11</v>
      </c>
      <c r="C96" t="s">
        <v>11</v>
      </c>
      <c r="D96">
        <v>2.6</v>
      </c>
      <c r="E96">
        <v>283</v>
      </c>
      <c r="F96">
        <v>600</v>
      </c>
      <c r="G96" t="s">
        <v>44</v>
      </c>
    </row>
    <row r="97" spans="1:7" x14ac:dyDescent="0.25">
      <c r="A97" t="s">
        <v>106</v>
      </c>
      <c r="B97" t="s">
        <v>11</v>
      </c>
      <c r="C97" t="s">
        <v>11</v>
      </c>
      <c r="D97">
        <v>3.3</v>
      </c>
      <c r="E97">
        <v>62</v>
      </c>
      <c r="F97">
        <v>800</v>
      </c>
      <c r="G97" t="s">
        <v>44</v>
      </c>
    </row>
    <row r="98" spans="1:7" x14ac:dyDescent="0.25">
      <c r="A98" t="s">
        <v>107</v>
      </c>
      <c r="B98" t="s">
        <v>11</v>
      </c>
      <c r="C98" t="s">
        <v>11</v>
      </c>
      <c r="D98">
        <v>3.8</v>
      </c>
      <c r="E98">
        <v>64</v>
      </c>
      <c r="F98">
        <v>250</v>
      </c>
      <c r="G98" t="s">
        <v>44</v>
      </c>
    </row>
    <row r="99" spans="1:7" x14ac:dyDescent="0.25">
      <c r="A99" t="s">
        <v>108</v>
      </c>
      <c r="B99" t="s">
        <v>11</v>
      </c>
      <c r="C99" t="s">
        <v>11</v>
      </c>
      <c r="D99">
        <v>3.7</v>
      </c>
      <c r="E99">
        <v>39</v>
      </c>
      <c r="F99">
        <v>950</v>
      </c>
      <c r="G99" t="s">
        <v>44</v>
      </c>
    </row>
    <row r="100" spans="1:7" x14ac:dyDescent="0.25">
      <c r="A100" t="s">
        <v>109</v>
      </c>
      <c r="B100" t="s">
        <v>11</v>
      </c>
      <c r="C100" t="s">
        <v>11</v>
      </c>
      <c r="D100">
        <v>3.7</v>
      </c>
      <c r="E100">
        <v>65</v>
      </c>
      <c r="F100">
        <v>300</v>
      </c>
      <c r="G100" t="s">
        <v>44</v>
      </c>
    </row>
    <row r="101" spans="1:7" x14ac:dyDescent="0.25">
      <c r="A101" t="s">
        <v>110</v>
      </c>
      <c r="B101" t="s">
        <v>8</v>
      </c>
      <c r="C101" t="s">
        <v>11</v>
      </c>
      <c r="D101">
        <v>3.8</v>
      </c>
      <c r="E101">
        <v>71</v>
      </c>
      <c r="F101">
        <v>400</v>
      </c>
      <c r="G101" t="s">
        <v>44</v>
      </c>
    </row>
    <row r="102" spans="1:7" x14ac:dyDescent="0.25">
      <c r="A102" t="s">
        <v>111</v>
      </c>
      <c r="B102" t="s">
        <v>11</v>
      </c>
      <c r="C102" t="s">
        <v>11</v>
      </c>
      <c r="D102">
        <v>3.5</v>
      </c>
      <c r="E102">
        <v>52</v>
      </c>
      <c r="F102">
        <v>300</v>
      </c>
      <c r="G102" t="s">
        <v>44</v>
      </c>
    </row>
    <row r="103" spans="1:7" x14ac:dyDescent="0.25">
      <c r="A103" t="s">
        <v>112</v>
      </c>
      <c r="B103" t="s">
        <v>11</v>
      </c>
      <c r="C103" t="s">
        <v>11</v>
      </c>
      <c r="D103">
        <v>3.7</v>
      </c>
      <c r="E103">
        <v>130</v>
      </c>
      <c r="F103">
        <v>200</v>
      </c>
      <c r="G103" t="s">
        <v>44</v>
      </c>
    </row>
    <row r="104" spans="1:7" x14ac:dyDescent="0.25">
      <c r="A104" t="s">
        <v>113</v>
      </c>
      <c r="B104" t="s">
        <v>11</v>
      </c>
      <c r="C104" t="s">
        <v>11</v>
      </c>
      <c r="D104">
        <v>3.5</v>
      </c>
      <c r="E104">
        <v>10</v>
      </c>
      <c r="F104">
        <v>300</v>
      </c>
      <c r="G104" t="s">
        <v>44</v>
      </c>
    </row>
    <row r="105" spans="1:7" x14ac:dyDescent="0.25">
      <c r="A105" t="s">
        <v>114</v>
      </c>
      <c r="B105" t="s">
        <v>11</v>
      </c>
      <c r="C105" t="s">
        <v>11</v>
      </c>
      <c r="D105">
        <v>3.8</v>
      </c>
      <c r="E105">
        <v>45</v>
      </c>
      <c r="F105">
        <v>400</v>
      </c>
      <c r="G105" t="s">
        <v>44</v>
      </c>
    </row>
    <row r="106" spans="1:7" x14ac:dyDescent="0.25">
      <c r="A106" t="s">
        <v>36</v>
      </c>
      <c r="B106" t="s">
        <v>11</v>
      </c>
      <c r="C106" t="s">
        <v>11</v>
      </c>
      <c r="D106">
        <v>3.2</v>
      </c>
      <c r="E106">
        <v>11</v>
      </c>
      <c r="F106">
        <v>600</v>
      </c>
      <c r="G106" t="s">
        <v>44</v>
      </c>
    </row>
    <row r="107" spans="1:7" x14ac:dyDescent="0.25">
      <c r="A107" t="s">
        <v>115</v>
      </c>
      <c r="B107" t="s">
        <v>11</v>
      </c>
      <c r="C107" t="s">
        <v>11</v>
      </c>
      <c r="D107">
        <v>3.5</v>
      </c>
      <c r="E107">
        <v>13</v>
      </c>
      <c r="F107">
        <v>300</v>
      </c>
      <c r="G107" t="s">
        <v>44</v>
      </c>
    </row>
    <row r="108" spans="1:7" x14ac:dyDescent="0.25">
      <c r="A108" t="s">
        <v>116</v>
      </c>
      <c r="B108" t="s">
        <v>11</v>
      </c>
      <c r="C108" t="s">
        <v>11</v>
      </c>
      <c r="D108">
        <v>3.4</v>
      </c>
      <c r="E108">
        <v>8</v>
      </c>
      <c r="F108">
        <v>300</v>
      </c>
      <c r="G108" t="s">
        <v>44</v>
      </c>
    </row>
    <row r="109" spans="1:7" x14ac:dyDescent="0.25">
      <c r="A109" t="s">
        <v>117</v>
      </c>
      <c r="B109" t="s">
        <v>11</v>
      </c>
      <c r="C109" t="s">
        <v>11</v>
      </c>
      <c r="D109">
        <v>3.4</v>
      </c>
      <c r="E109">
        <v>0</v>
      </c>
      <c r="F109">
        <v>250</v>
      </c>
      <c r="G109" t="s">
        <v>44</v>
      </c>
    </row>
    <row r="110" spans="1:7" x14ac:dyDescent="0.25">
      <c r="A110" t="s">
        <v>118</v>
      </c>
      <c r="B110" t="s">
        <v>11</v>
      </c>
      <c r="C110" t="s">
        <v>11</v>
      </c>
      <c r="D110">
        <v>3.2</v>
      </c>
      <c r="E110">
        <v>9</v>
      </c>
      <c r="F110">
        <v>300</v>
      </c>
      <c r="G110" t="s">
        <v>44</v>
      </c>
    </row>
    <row r="111" spans="1:7" x14ac:dyDescent="0.25">
      <c r="A111" t="s">
        <v>119</v>
      </c>
      <c r="B111" t="s">
        <v>11</v>
      </c>
      <c r="C111" t="s">
        <v>11</v>
      </c>
      <c r="D111">
        <v>3.2</v>
      </c>
      <c r="E111">
        <v>4</v>
      </c>
      <c r="F111">
        <v>300</v>
      </c>
      <c r="G111" t="s">
        <v>44</v>
      </c>
    </row>
    <row r="112" spans="1:7" x14ac:dyDescent="0.25">
      <c r="A112" t="s">
        <v>120</v>
      </c>
      <c r="B112" t="s">
        <v>11</v>
      </c>
      <c r="C112" t="s">
        <v>11</v>
      </c>
      <c r="D112">
        <v>3.2</v>
      </c>
      <c r="E112">
        <v>0</v>
      </c>
      <c r="F112">
        <v>200</v>
      </c>
      <c r="G112" t="s">
        <v>44</v>
      </c>
    </row>
    <row r="113" spans="1:7" x14ac:dyDescent="0.25">
      <c r="A113" t="s">
        <v>121</v>
      </c>
      <c r="B113" t="s">
        <v>11</v>
      </c>
      <c r="C113" t="s">
        <v>11</v>
      </c>
      <c r="D113">
        <v>3.1</v>
      </c>
      <c r="E113">
        <v>29</v>
      </c>
      <c r="F113">
        <v>150</v>
      </c>
      <c r="G113" t="s">
        <v>44</v>
      </c>
    </row>
    <row r="114" spans="1:7" x14ac:dyDescent="0.25">
      <c r="A114" t="s">
        <v>122</v>
      </c>
      <c r="B114" t="s">
        <v>11</v>
      </c>
      <c r="C114" t="s">
        <v>11</v>
      </c>
      <c r="D114">
        <v>3.4</v>
      </c>
      <c r="E114">
        <v>8</v>
      </c>
      <c r="F114">
        <v>400</v>
      </c>
      <c r="G114" t="s">
        <v>44</v>
      </c>
    </row>
    <row r="115" spans="1:7" x14ac:dyDescent="0.25">
      <c r="A115" t="s">
        <v>123</v>
      </c>
      <c r="B115" t="s">
        <v>11</v>
      </c>
      <c r="C115" t="s">
        <v>11</v>
      </c>
      <c r="D115">
        <v>3.4</v>
      </c>
      <c r="E115">
        <v>0</v>
      </c>
      <c r="F115">
        <v>150</v>
      </c>
      <c r="G115" t="s">
        <v>44</v>
      </c>
    </row>
    <row r="116" spans="1:7" x14ac:dyDescent="0.25">
      <c r="A116" t="s">
        <v>124</v>
      </c>
      <c r="B116" t="s">
        <v>11</v>
      </c>
      <c r="C116" t="s">
        <v>11</v>
      </c>
      <c r="D116">
        <v>3.4</v>
      </c>
      <c r="E116">
        <v>0</v>
      </c>
      <c r="F116">
        <v>300</v>
      </c>
      <c r="G116" t="s">
        <v>44</v>
      </c>
    </row>
    <row r="117" spans="1:7" x14ac:dyDescent="0.25">
      <c r="A117" t="s">
        <v>125</v>
      </c>
      <c r="B117" t="s">
        <v>11</v>
      </c>
      <c r="C117" t="s">
        <v>11</v>
      </c>
      <c r="D117">
        <v>3.4</v>
      </c>
      <c r="E117">
        <v>0</v>
      </c>
      <c r="F117">
        <v>200</v>
      </c>
      <c r="G117" t="s">
        <v>44</v>
      </c>
    </row>
    <row r="118" spans="1:7" x14ac:dyDescent="0.25">
      <c r="A118" t="s">
        <v>126</v>
      </c>
      <c r="B118" t="s">
        <v>11</v>
      </c>
      <c r="C118" t="s">
        <v>11</v>
      </c>
      <c r="D118">
        <v>3.4</v>
      </c>
      <c r="E118">
        <v>0</v>
      </c>
      <c r="F118">
        <v>150</v>
      </c>
      <c r="G118" t="s">
        <v>44</v>
      </c>
    </row>
    <row r="119" spans="1:7" x14ac:dyDescent="0.25">
      <c r="A119" t="s">
        <v>127</v>
      </c>
      <c r="B119" t="s">
        <v>11</v>
      </c>
      <c r="C119" t="s">
        <v>11</v>
      </c>
      <c r="D119">
        <v>3.4</v>
      </c>
      <c r="E119">
        <v>0</v>
      </c>
      <c r="F119">
        <v>150</v>
      </c>
      <c r="G119" t="s">
        <v>44</v>
      </c>
    </row>
    <row r="120" spans="1:7" x14ac:dyDescent="0.25">
      <c r="A120" t="s">
        <v>128</v>
      </c>
      <c r="B120" t="s">
        <v>11</v>
      </c>
      <c r="C120" t="s">
        <v>11</v>
      </c>
      <c r="D120">
        <v>3.4</v>
      </c>
      <c r="E120">
        <v>0</v>
      </c>
      <c r="F120">
        <v>250</v>
      </c>
      <c r="G120" t="s">
        <v>44</v>
      </c>
    </row>
    <row r="121" spans="1:7" x14ac:dyDescent="0.25">
      <c r="A121" t="s">
        <v>129</v>
      </c>
      <c r="B121" t="s">
        <v>11</v>
      </c>
      <c r="C121" t="s">
        <v>11</v>
      </c>
      <c r="D121">
        <v>3.1</v>
      </c>
      <c r="E121">
        <v>30</v>
      </c>
      <c r="F121">
        <v>900</v>
      </c>
      <c r="G121" t="s">
        <v>44</v>
      </c>
    </row>
    <row r="122" spans="1:7" x14ac:dyDescent="0.25">
      <c r="A122" t="s">
        <v>130</v>
      </c>
      <c r="B122" t="s">
        <v>8</v>
      </c>
      <c r="C122" t="s">
        <v>11</v>
      </c>
      <c r="D122">
        <v>4.0999999999999996</v>
      </c>
      <c r="E122">
        <v>201</v>
      </c>
      <c r="F122">
        <v>300</v>
      </c>
      <c r="G122" t="s">
        <v>44</v>
      </c>
    </row>
    <row r="123" spans="1:7" x14ac:dyDescent="0.25">
      <c r="A123" t="s">
        <v>131</v>
      </c>
      <c r="B123" t="s">
        <v>11</v>
      </c>
      <c r="C123" t="s">
        <v>11</v>
      </c>
      <c r="D123">
        <v>3.3</v>
      </c>
      <c r="E123">
        <v>7</v>
      </c>
      <c r="F123">
        <v>200</v>
      </c>
      <c r="G123" t="s">
        <v>44</v>
      </c>
    </row>
    <row r="124" spans="1:7" x14ac:dyDescent="0.25">
      <c r="A124" t="s">
        <v>132</v>
      </c>
      <c r="B124" t="s">
        <v>11</v>
      </c>
      <c r="C124" t="s">
        <v>11</v>
      </c>
      <c r="D124">
        <v>3.1</v>
      </c>
      <c r="E124">
        <v>6</v>
      </c>
      <c r="F124">
        <v>100</v>
      </c>
      <c r="G124" t="s">
        <v>44</v>
      </c>
    </row>
    <row r="125" spans="1:7" x14ac:dyDescent="0.25">
      <c r="A125" t="s">
        <v>133</v>
      </c>
      <c r="B125" t="s">
        <v>11</v>
      </c>
      <c r="C125" t="s">
        <v>11</v>
      </c>
      <c r="D125">
        <v>3.3</v>
      </c>
      <c r="E125">
        <v>17</v>
      </c>
      <c r="F125">
        <v>200</v>
      </c>
      <c r="G125" t="s">
        <v>44</v>
      </c>
    </row>
    <row r="126" spans="1:7" x14ac:dyDescent="0.25">
      <c r="A126" t="s">
        <v>134</v>
      </c>
      <c r="B126" t="s">
        <v>11</v>
      </c>
      <c r="C126" t="s">
        <v>11</v>
      </c>
      <c r="D126">
        <v>2.9</v>
      </c>
      <c r="E126">
        <v>25</v>
      </c>
      <c r="F126">
        <v>200</v>
      </c>
      <c r="G126" t="s">
        <v>44</v>
      </c>
    </row>
    <row r="127" spans="1:7" x14ac:dyDescent="0.25">
      <c r="A127" t="s">
        <v>135</v>
      </c>
      <c r="B127" t="s">
        <v>11</v>
      </c>
      <c r="C127" t="s">
        <v>11</v>
      </c>
      <c r="D127">
        <v>2.9</v>
      </c>
      <c r="E127">
        <v>0</v>
      </c>
      <c r="F127">
        <v>400</v>
      </c>
      <c r="G127" t="s">
        <v>44</v>
      </c>
    </row>
    <row r="128" spans="1:7" x14ac:dyDescent="0.25">
      <c r="A128" t="s">
        <v>136</v>
      </c>
      <c r="B128" t="s">
        <v>11</v>
      </c>
      <c r="C128" t="s">
        <v>11</v>
      </c>
      <c r="D128">
        <v>2.9</v>
      </c>
      <c r="E128">
        <v>0</v>
      </c>
      <c r="F128">
        <v>350</v>
      </c>
      <c r="G128" t="s">
        <v>44</v>
      </c>
    </row>
    <row r="129" spans="1:7" x14ac:dyDescent="0.25">
      <c r="A129" t="s">
        <v>137</v>
      </c>
      <c r="B129" t="s">
        <v>11</v>
      </c>
      <c r="C129" t="s">
        <v>11</v>
      </c>
      <c r="D129">
        <v>3.3</v>
      </c>
      <c r="E129">
        <v>8</v>
      </c>
      <c r="F129">
        <v>100</v>
      </c>
      <c r="G129" t="s">
        <v>44</v>
      </c>
    </row>
    <row r="130" spans="1:7" x14ac:dyDescent="0.25">
      <c r="A130" t="s">
        <v>138</v>
      </c>
      <c r="B130" t="s">
        <v>11</v>
      </c>
      <c r="C130" t="s">
        <v>11</v>
      </c>
      <c r="D130">
        <v>3.3</v>
      </c>
      <c r="E130">
        <v>0</v>
      </c>
      <c r="F130">
        <v>150</v>
      </c>
      <c r="G130" t="s">
        <v>44</v>
      </c>
    </row>
    <row r="131" spans="1:7" x14ac:dyDescent="0.25">
      <c r="A131" t="s">
        <v>139</v>
      </c>
      <c r="B131" t="s">
        <v>11</v>
      </c>
      <c r="C131" t="s">
        <v>11</v>
      </c>
      <c r="D131">
        <v>3.4</v>
      </c>
      <c r="E131">
        <v>0</v>
      </c>
      <c r="F131">
        <v>150</v>
      </c>
      <c r="G131" t="s">
        <v>44</v>
      </c>
    </row>
    <row r="132" spans="1:7" x14ac:dyDescent="0.25">
      <c r="A132" t="s">
        <v>140</v>
      </c>
      <c r="B132" t="s">
        <v>11</v>
      </c>
      <c r="C132" t="s">
        <v>11</v>
      </c>
      <c r="D132">
        <v>3.4</v>
      </c>
      <c r="E132">
        <v>0</v>
      </c>
      <c r="F132">
        <v>200</v>
      </c>
      <c r="G132" t="s">
        <v>44</v>
      </c>
    </row>
    <row r="133" spans="1:7" x14ac:dyDescent="0.25">
      <c r="A133" t="s">
        <v>141</v>
      </c>
      <c r="B133" t="s">
        <v>11</v>
      </c>
      <c r="C133" t="s">
        <v>11</v>
      </c>
      <c r="D133">
        <v>3.4</v>
      </c>
      <c r="E133">
        <v>0</v>
      </c>
      <c r="F133">
        <v>100</v>
      </c>
      <c r="G133" t="s">
        <v>44</v>
      </c>
    </row>
    <row r="134" spans="1:7" x14ac:dyDescent="0.25">
      <c r="A134" t="s">
        <v>142</v>
      </c>
      <c r="B134" t="s">
        <v>11</v>
      </c>
      <c r="C134" t="s">
        <v>11</v>
      </c>
      <c r="D134">
        <v>3.1</v>
      </c>
      <c r="E134">
        <v>0</v>
      </c>
      <c r="F134">
        <v>400</v>
      </c>
      <c r="G134" t="s">
        <v>44</v>
      </c>
    </row>
    <row r="135" spans="1:7" x14ac:dyDescent="0.25">
      <c r="A135" t="s">
        <v>143</v>
      </c>
      <c r="B135" t="s">
        <v>11</v>
      </c>
      <c r="C135" t="s">
        <v>11</v>
      </c>
      <c r="D135">
        <v>4.0999999999999996</v>
      </c>
      <c r="E135">
        <v>0</v>
      </c>
      <c r="F135">
        <v>200</v>
      </c>
      <c r="G135" t="s">
        <v>44</v>
      </c>
    </row>
    <row r="136" spans="1:7" x14ac:dyDescent="0.25">
      <c r="A136" t="s">
        <v>144</v>
      </c>
      <c r="B136" t="s">
        <v>11</v>
      </c>
      <c r="C136" t="s">
        <v>11</v>
      </c>
      <c r="D136">
        <v>3.3</v>
      </c>
      <c r="E136">
        <v>0</v>
      </c>
      <c r="F136">
        <v>150</v>
      </c>
      <c r="G136" t="s">
        <v>44</v>
      </c>
    </row>
    <row r="137" spans="1:7" x14ac:dyDescent="0.25">
      <c r="A137" t="s">
        <v>145</v>
      </c>
      <c r="B137" t="s">
        <v>11</v>
      </c>
      <c r="C137" t="s">
        <v>11</v>
      </c>
      <c r="D137">
        <v>3.1</v>
      </c>
      <c r="E137">
        <v>0</v>
      </c>
      <c r="F137">
        <v>400</v>
      </c>
      <c r="G137" t="s">
        <v>44</v>
      </c>
    </row>
    <row r="138" spans="1:7" x14ac:dyDescent="0.25">
      <c r="A138" t="s">
        <v>146</v>
      </c>
      <c r="B138" t="s">
        <v>11</v>
      </c>
      <c r="C138" t="s">
        <v>11</v>
      </c>
      <c r="D138">
        <v>3.3</v>
      </c>
      <c r="E138">
        <v>0</v>
      </c>
      <c r="F138">
        <v>150</v>
      </c>
      <c r="G138" t="s">
        <v>44</v>
      </c>
    </row>
    <row r="139" spans="1:7" x14ac:dyDescent="0.25">
      <c r="A139" t="s">
        <v>147</v>
      </c>
      <c r="B139" t="s">
        <v>11</v>
      </c>
      <c r="C139" t="s">
        <v>11</v>
      </c>
      <c r="D139">
        <v>2.9</v>
      </c>
      <c r="E139">
        <v>0</v>
      </c>
      <c r="F139">
        <v>250</v>
      </c>
      <c r="G139" t="s">
        <v>44</v>
      </c>
    </row>
    <row r="140" spans="1:7" x14ac:dyDescent="0.25">
      <c r="A140" t="s">
        <v>148</v>
      </c>
      <c r="B140" t="s">
        <v>11</v>
      </c>
      <c r="C140" t="s">
        <v>11</v>
      </c>
      <c r="D140">
        <v>2.9</v>
      </c>
      <c r="E140">
        <v>0</v>
      </c>
      <c r="F140">
        <v>250</v>
      </c>
      <c r="G140" t="s">
        <v>44</v>
      </c>
    </row>
    <row r="141" spans="1:7" x14ac:dyDescent="0.25">
      <c r="A141" t="s">
        <v>149</v>
      </c>
      <c r="B141" t="s">
        <v>11</v>
      </c>
      <c r="C141" t="s">
        <v>11</v>
      </c>
      <c r="D141">
        <v>2.9</v>
      </c>
      <c r="E141">
        <v>0</v>
      </c>
      <c r="F141">
        <v>150</v>
      </c>
      <c r="G141" t="s">
        <v>44</v>
      </c>
    </row>
    <row r="142" spans="1:7" x14ac:dyDescent="0.25">
      <c r="A142" t="s">
        <v>150</v>
      </c>
      <c r="B142" t="s">
        <v>11</v>
      </c>
      <c r="C142" t="s">
        <v>11</v>
      </c>
      <c r="D142">
        <v>3.3</v>
      </c>
      <c r="E142">
        <v>0</v>
      </c>
      <c r="F142">
        <v>200</v>
      </c>
      <c r="G142" t="s">
        <v>44</v>
      </c>
    </row>
    <row r="143" spans="1:7" x14ac:dyDescent="0.25">
      <c r="A143" t="s">
        <v>151</v>
      </c>
      <c r="B143" t="s">
        <v>11</v>
      </c>
      <c r="C143" t="s">
        <v>11</v>
      </c>
      <c r="D143">
        <v>3.3</v>
      </c>
      <c r="E143">
        <v>0</v>
      </c>
      <c r="F143">
        <v>350</v>
      </c>
      <c r="G143" t="s">
        <v>44</v>
      </c>
    </row>
    <row r="144" spans="1:7" x14ac:dyDescent="0.25">
      <c r="A144" t="s">
        <v>152</v>
      </c>
      <c r="B144" t="s">
        <v>11</v>
      </c>
      <c r="C144" t="s">
        <v>11</v>
      </c>
      <c r="D144">
        <v>3.3</v>
      </c>
      <c r="E144">
        <v>0</v>
      </c>
      <c r="F144">
        <v>300</v>
      </c>
      <c r="G144" t="s">
        <v>44</v>
      </c>
    </row>
    <row r="145" spans="1:7" x14ac:dyDescent="0.25">
      <c r="A145" t="s">
        <v>153</v>
      </c>
      <c r="B145" t="s">
        <v>11</v>
      </c>
      <c r="C145" t="s">
        <v>11</v>
      </c>
      <c r="D145">
        <v>3.3</v>
      </c>
      <c r="E145">
        <v>0</v>
      </c>
      <c r="F145">
        <v>100</v>
      </c>
      <c r="G145" t="s">
        <v>44</v>
      </c>
    </row>
    <row r="146" spans="1:7" x14ac:dyDescent="0.25">
      <c r="A146" t="s">
        <v>154</v>
      </c>
      <c r="B146" t="s">
        <v>11</v>
      </c>
      <c r="C146" t="s">
        <v>11</v>
      </c>
      <c r="D146">
        <v>3.3</v>
      </c>
      <c r="E146">
        <v>0</v>
      </c>
      <c r="F146">
        <v>150</v>
      </c>
      <c r="G146" t="s">
        <v>44</v>
      </c>
    </row>
    <row r="147" spans="1:7" x14ac:dyDescent="0.25">
      <c r="A147" t="s">
        <v>155</v>
      </c>
      <c r="B147" t="s">
        <v>8</v>
      </c>
      <c r="C147" t="s">
        <v>11</v>
      </c>
      <c r="D147">
        <v>4</v>
      </c>
      <c r="E147">
        <v>771</v>
      </c>
      <c r="F147">
        <v>450</v>
      </c>
      <c r="G147" t="s">
        <v>44</v>
      </c>
    </row>
    <row r="148" spans="1:7" x14ac:dyDescent="0.25">
      <c r="A148" t="s">
        <v>156</v>
      </c>
      <c r="B148" t="s">
        <v>11</v>
      </c>
      <c r="C148" t="s">
        <v>11</v>
      </c>
      <c r="D148">
        <v>3</v>
      </c>
      <c r="E148">
        <v>98</v>
      </c>
      <c r="F148">
        <v>800</v>
      </c>
      <c r="G148" t="s">
        <v>44</v>
      </c>
    </row>
    <row r="149" spans="1:7" x14ac:dyDescent="0.25">
      <c r="A149" t="s">
        <v>157</v>
      </c>
      <c r="B149" t="s">
        <v>8</v>
      </c>
      <c r="C149" t="s">
        <v>11</v>
      </c>
      <c r="D149">
        <v>3.9</v>
      </c>
      <c r="E149">
        <v>47</v>
      </c>
      <c r="F149">
        <v>200</v>
      </c>
      <c r="G149" t="s">
        <v>44</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099A9F-7815-4DCA-8921-3ED84F646F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vt:lpstr>
      <vt:lpstr>CUSTOMER  AND ORDER ANALYSIS</vt:lpstr>
      <vt:lpstr>RESTAURANT ANALYSIS</vt:lpstr>
      <vt:lpstr>ZOMATO DASHBOARD</vt:lpstr>
      <vt:lpstr>Sheet4</vt:lpstr>
      <vt:lpstr>Zomato-data-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BS</dc:creator>
  <cp:lastModifiedBy>BS</cp:lastModifiedBy>
  <dcterms:created xsi:type="dcterms:W3CDTF">2026-07-10T06:55:40Z</dcterms:created>
  <dcterms:modified xsi:type="dcterms:W3CDTF">2026-10-14T07:57:04Z</dcterms:modified>
</cp:coreProperties>
</file>